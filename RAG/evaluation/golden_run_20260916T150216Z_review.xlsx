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questions" sheetId="2" state="visible" r:id="rId4"/>
    <sheet name="retrieval context" sheetId="3" state="visible" r:id="rId5"/>
    <sheet name="gate would block" sheetId="4" state="visible" r:id="rId6"/>
    <sheet name="recall below 1" sheetId="5" state="visible" r:id="rId7"/>
  </sheets>
  <definedNames>
    <definedName function="false" hidden="true" localSheetId="1" name="_xlnm._FilterDatabase" vbProcedure="false">questions!$A$3:$Q$51</definedName>
    <definedName function="false" hidden="true" localSheetId="2" name="_xlnm._FilterDatabase" vbProcedure="false">'retrieval context'!$A$3:$L$195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<sst xmlns="http://schemas.openxmlformats.org/spreadsheetml/2006/main" count="2365" uniqueCount="706">
  <si>
    <t xml:space="preserve">Golden run summary</t>
  </si>
  <si>
    <t xml:space="preserve">run</t>
  </si>
  <si>
    <t xml:space="preserve">20260916T150216Z</t>
  </si>
  <si>
    <t xml:space="preserve">judge</t>
  </si>
  <si>
    <t xml:space="preserve">qwen2.5:7b-instruct</t>
  </si>
  <si>
    <t xml:space="preserve">metrics</t>
  </si>
  <si>
    <t xml:space="preserve">both</t>
  </si>
  <si>
    <t xml:space="preserve">questions</t>
  </si>
  <si>
    <t xml:space="preserve">golden set</t>
  </si>
  <si>
    <t xml:space="preserve">evaluation\golden_set_v2.jsonl</t>
  </si>
  <si>
    <t xml:space="preserve">generator config</t>
  </si>
  <si>
    <t xml:space="preserve">qwen3:1.7b|answer_v3_json@30bf3c0e4c390f05|t0.0|ctx16384|floor0.0|facet6.0|renderv2|align0.65/0.05</t>
  </si>
  <si>
    <t xml:space="preserve">Scores — computed from the questions sheet, not pasted</t>
  </si>
  <si>
    <t xml:space="preserve">group</t>
  </si>
  <si>
    <t xml:space="preserve">n</t>
  </si>
  <si>
    <t xml:space="preserve">context_recall</t>
  </si>
  <si>
    <t xml:space="preserve">faithfulness</t>
  </si>
  <si>
    <t xml:space="preserve">all questions</t>
  </si>
  <si>
    <t xml:space="preserve">passed the gate</t>
  </si>
  <si>
    <t xml:space="preserve">blocked by the gate</t>
  </si>
  <si>
    <t xml:space="preserve">Note: the with-gate / without-gate difference rests on 10 questions and is well inside noise — do not report it as an improvement. Source: run JSON in evaluation/runs/ragas/.</t>
  </si>
  <si>
    <t xml:space="preserve">Golden run 20260916T150216Z — all 48 questions. Judge qwen2.5:7b-instruct. Generator: qwen3:1.7b|answer_v3_json@30bf3c0e4c390f05|t0.0|ctx16384|floor0.0|facet6.0|renderv2|align0.65/0.05. Scores from RAGAS; recall and faithfulness are the judge's, not ground truth.</t>
  </si>
  <si>
    <t xml:space="preserve">id</t>
  </si>
  <si>
    <t xml:space="preserve">scenario</t>
  </si>
  <si>
    <t xml:space="preserve">plan exp</t>
  </si>
  <si>
    <t xml:space="preserve">plan actual</t>
  </si>
  <si>
    <t xml:space="preserve">psg</t>
  </si>
  <si>
    <t xml:space="preserve">literal</t>
  </si>
  <si>
    <t xml:space="preserve">recall</t>
  </si>
  <si>
    <t xml:space="preserve">faith</t>
  </si>
  <si>
    <t xml:space="preserve">doc hit</t>
  </si>
  <si>
    <t xml:space="preserve">gate</t>
  </si>
  <si>
    <t xml:space="preserve">gate reason</t>
  </si>
  <si>
    <t xml:space="preserve">expected docs</t>
  </si>
  <si>
    <t xml:space="preserve">docs served</t>
  </si>
  <si>
    <t xml:space="preserve">secs</t>
  </si>
  <si>
    <t xml:space="preserve">question</t>
  </si>
  <si>
    <t xml:space="preserve">reference</t>
  </si>
  <si>
    <t xml:space="preserve">answer</t>
  </si>
  <si>
    <t xml:space="preserve">gs-01</t>
  </si>
  <si>
    <t xml:space="preserve">direct</t>
  </si>
  <si>
    <t xml:space="preserve">single_document</t>
  </si>
  <si>
    <t xml:space="preserve">yes</t>
  </si>
  <si>
    <t xml:space="preserve">ANSWERABLE</t>
  </si>
  <si>
    <t xml:space="preserve">question names Basel RBC — no gate needed</t>
  </si>
  <si>
    <t xml:space="preserve">Basel RBC</t>
  </si>
  <si>
    <t xml:space="preserve">Under Basel RBC, what are the minimum risk-based capital ratios a bank must meet?</t>
  </si>
  <si>
    <t xml:space="preserve">Banks must meet the following at all times: Common Equity Tier 1 capital of at least 4.5% of risk-weighted assets, Tier 1 capital of at least 6% of risk-weighted assets, and Total capital of at least 8.0% of risk-weighted assets.</t>
  </si>
  <si>
    <t xml:space="preserve">The minimum risk-based capital ratios a bank must meet under Basel RBC are set out in RBC30.4, which specifies that Common Equity Tier 1 (CET1) must first be used to meet the minimum capital and total loss-absorbing capacity (TLAC) requirements, before the remainder can contribute to the capital conservation buffer [1]. The capital conservation buffer is calculated based on the CET1 capital ratio, and the minimum conservation ratios are determined at each distribution date. For example, a bank with a CET1 capital ratio in the range of 5.125% to 5.75% is required to conserve 80% of its earnings, meaning it can pay out no more than 20% in terms of dividends, share buybacks, and discretionary bonus payments [1].</t>
  </si>
  <si>
    <t xml:space="preserve">gs-02</t>
  </si>
  <si>
    <t xml:space="preserve">question names Basel LEX — no gate needed</t>
  </si>
  <si>
    <t xml:space="preserve">Basel LEX</t>
  </si>
  <si>
    <t xml:space="preserve">What is the large exposure limit to a single counterparty under Basel LEX?</t>
  </si>
  <si>
    <t xml:space="preserve">The sum of all exposure values of a bank to a single counterparty or to a group of connected counterparties must not be higher than 25% of the bank's Tier 1 capital at all times. For a global systemically important bank's exposures to another G-SIB the limit is set at 15%.</t>
  </si>
  <si>
    <t xml:space="preserve">The large exposure limit to a single counterparty under Basel LEX is defined as the maximum amount a bank may have in exposures to that counterparty, which is subject to the large exposure limit in all respects [1]. This limit applies to all exposures, including on- and off-balance sheet exposures, and is calculated according to the risk-based capital framework [1].</t>
  </si>
  <si>
    <t xml:space="preserve">gs-03</t>
  </si>
  <si>
    <t xml:space="preserve">question names BCBS 239 — no gate needed</t>
  </si>
  <si>
    <t xml:space="preserve">BCBS 239</t>
  </si>
  <si>
    <t xml:space="preserve">What does BCBS 239 require on the accuracy and integrity of risk data?</t>
  </si>
  <si>
    <t xml:space="preserve">Under Principle 3 a bank should be able to generate accurate and reliable risk data to meet normal and stress or crisis reporting accuracy requirements, and data should be aggregated on a largely automated basis so as to minimise the probability of errors. Controls surrounding risk data should be as robust as those applicable to accounting data.</t>
  </si>
  <si>
    <t xml:space="preserve">BCBS 239 requires that risk data be accurate and reliable, and that it be aggregated on a largely automated basis to minimise the probability of errors [1]. BCBS 239 mandates that risk data be reconciled with bank sources, including accounting data, to ensure accuracy and that there be a single authoritative source for risk data per type of risk [1].</t>
  </si>
  <si>
    <t xml:space="preserve">gs-04</t>
  </si>
  <si>
    <t xml:space="preserve">question names SR 26-2 — no gate needed</t>
  </si>
  <si>
    <t xml:space="preserve">SR 26-2</t>
  </si>
  <si>
    <t xml:space="preserve">Under SR 26-2, what should a banking organization's model inventory contain?</t>
  </si>
  <si>
    <t xml:space="preserve">It is common industry practice to maintain a comprehensive set of information for models under development or in use. The inventory may contain varying levels of information reflecting different levels of model complexity and the organization's overall level of model usage, and an effective model inventory includes sufficient information to understand model risks so as to support effective model risk management at the individual and aggregate levels.</t>
  </si>
  <si>
    <t xml:space="preserve">An effective model inventory includes sufficient information to understand model risks, so as to support effective model risk management at the individual and aggregate levels [1]. The inventory may contain varying levels of information to reflect different levels of model complexity and a banking organization's overall level of model usage [1].</t>
  </si>
  <si>
    <t xml:space="preserve">gs-05</t>
  </si>
  <si>
    <t xml:space="preserve">question names SS1/23 — no gate needed</t>
  </si>
  <si>
    <t xml:space="preserve">SS1/23</t>
  </si>
  <si>
    <t xml:space="preserve">Under SS1/23, what does Principle 1 require of firms?</t>
  </si>
  <si>
    <t xml:space="preserve">Principle 1 covers model identification and model risk classification. Firms should have an established definition of a model that sets the scope for model risk management, a model inventory, and a risk-based tiering approach to categorise models to help identify and manage model risk.</t>
  </si>
  <si>
    <t xml:space="preserve">Principle 1 of SS1/23 requires firms to adopt a formal definition of a model as the basis for determining the scope of their MRM frameworks [1]. Principle 1 of SS1/23 also requires firms to consider whether to apply the relevant aspects of the MRM framework to deterministic quantitative methods that have a material bearing on business decisions [1].</t>
  </si>
  <si>
    <t xml:space="preserve">gs-06</t>
  </si>
  <si>
    <t xml:space="preserve">question names BCBS d450 — no gate needed</t>
  </si>
  <si>
    <t xml:space="preserve">BCBS d450</t>
  </si>
  <si>
    <t xml:space="preserve">Under BCBS d450, what should a stress testing framework's governance structure specify?</t>
  </si>
  <si>
    <t xml:space="preserve">The governance structure should be clear, comprehensive and documented. It should specify the roles and responsibilities of senior management, oversight bodies and those responsible for the ongoing operation of the stress testing framework, identify all key stakeholders, and ensure full and consistent oversight and monitoring of the actions taken at the different stages of the stress testing process.</t>
  </si>
  <si>
    <t xml:space="preserve">A stress testing framework's governance structure should specify the roles and responsibilities of senior management, oversight bodies, and those responsible for the ongoing operation of the stress testing framework [1]. The governance structure should identify all key stakeholders and ensure a full and consistent oversight and monitoring of the actions taken at the different stages of the stress testing process [1].</t>
  </si>
  <si>
    <t xml:space="preserve">gs-07</t>
  </si>
  <si>
    <t xml:space="preserve">multi_jurisdiction</t>
  </si>
  <si>
    <t xml:space="preserve">jurisdiction_fanout</t>
  </si>
  <si>
    <t xml:space="preserve">document_fanout</t>
  </si>
  <si>
    <t xml:space="preserve">question names SR 26-2, SS1/23 — no gate needed</t>
  </si>
  <si>
    <t xml:space="preserve">SS1/23, SR 26-2</t>
  </si>
  <si>
    <t xml:space="preserve">SR 26-2, SS1/23</t>
  </si>
  <si>
    <t xml:space="preserve">What does SS1/23 require on senior management accountability, and what does SR 26-2 say about model governance?</t>
  </si>
  <si>
    <t xml:space="preserve">SS1/23 Principle 2.2 requires firms to identify a Senior Management Function with overall responsibility for the model risk management framework, its implementation, execution and maintenance; that person should be the most senior individual with responsibility for the risks resulting from models, and the accountability should be reflected in their Statement of Responsibilities. SR 26-2 states that all components of the model lifecycle benefit from model governance supported by clear policies and effective controls, that effective policies define risk management expectations and establish a framework for assessing the magnitude of model risk, and that the nature and sophistication of model governance is informed by the extent of model usage and the size and complexity of the organization.</t>
  </si>
  <si>
    <t xml:space="preserve">SS1/23 requires that active senior management and board involvement in firms' MRM governance processes are key to robust and effective MRM practices [1]. SR 26-2 states that model governance should be supported by clear policies and effective controls, and that effective policies define risk management expectations and establish a framework for assessing model risk [2].</t>
  </si>
  <si>
    <t xml:space="preserve">gs-08</t>
  </si>
  <si>
    <t xml:space="preserve">INCOMPLETE</t>
  </si>
  <si>
    <t xml:space="preserve">MODEL_RISK_MANAGEMENT has more than one document for ['US'] - which one?</t>
  </si>
  <si>
    <t xml:space="preserve">What do UK and US supervisory expectations each say about maintaining a model inventory?</t>
  </si>
  <si>
    <t xml:space="preserve">UK SS1/23 treats the model inventory under Principle 1, alongside a model definition and a risk-based tiering approach, as part of model identification and risk classification. US SR 26-2 states that an effective model inventory includes sufficient information to understand model risks so as to support effective model risk management at the individual and aggregate levels.</t>
  </si>
  <si>
    <t xml:space="preserve">UK supervisory expectations require firms to maintain a comprehensive model inventory to identify sources of model risk, provide management information for reporting model risk, and identify model inter-dependencies. This is covered in SS1/23, Principle 1.2 Model inventory (in_force; eff. 2024-05-17) [1]. US supervisory expectations, as outlined in SS1/23, 1.2 (in_force; eff. 2024-05-17), require firms to maintain a complete and accurate set of information relevant to managing model risk for all models, including those under development or decommissioned [2].</t>
  </si>
  <si>
    <t xml:space="preserve">gs-09</t>
  </si>
  <si>
    <t xml:space="preserve">NO</t>
  </si>
  <si>
    <t xml:space="preserve">SS1/23, SR 11-7, SR 26-2</t>
  </si>
  <si>
    <t xml:space="preserve">12 CFR Part 252, SS1/23</t>
  </si>
  <si>
    <t xml:space="preserve">How do UK and US frameworks each structure independent model validation?</t>
  </si>
  <si>
    <t xml:space="preserve">UK SS1/23 sets independent model validation as Principle 4, covering an independent validation function, independent review, process verification, model performance monitoring and periodic revalidation. US SR 11-7 frames validation around three core elements: evaluation of conceptual soundness including developmental evidence, ongoing monitoring including process verification and benchmarking, and outcomes analysis including back-testing.</t>
  </si>
  <si>
    <t xml:space="preserve">UK and US frameworks structure independent model validation through distinct mechanisms, with the UK relying on the Financial Conduct Authority (FCA) and the US on the Federal Reserve (FR) for oversight [1]. The UK framework emphasizes independent validation by establishing a dedicated validation function within the Financial Conduct Authority, while the US framework requires a separate reporting line for model validators and model developers to demonstrate independence [2].</t>
  </si>
  <si>
    <t xml:space="preserve">gs-10</t>
  </si>
  <si>
    <t xml:space="preserve">comparison</t>
  </si>
  <si>
    <t xml:space="preserve">question names SR 15-18, SR 15-19 — no gate needed</t>
  </si>
  <si>
    <t xml:space="preserve">SR 15-18, SR 15-19</t>
  </si>
  <si>
    <t xml:space="preserve">How do SR 15-18 and SR 15-19 differ in which firms they apply to?</t>
  </si>
  <si>
    <t xml:space="preserve">SR 15-18 applies to US bank holding companies subject to Category I standards under the Board's tailoring framework. SR 15-19 applies to firms subject to Category II or III standards, including US bank holding companies, US intermediate holding companies of foreign banking organizations and covered savings and loan holding companies. Expectations for Category I firms are higher than those for Category II or III firms.</t>
  </si>
  <si>
    <t xml:space="preserve">SR 15-18 applies to U.S. bank holding companies that are subject to Category I standards, while SR 15-19 applies to U.S. bank holding companies that are subject to Category I standards as well, but with additional details about the criteria for LISCC firms [1]. SR 15-19 provides more specific guidance on the capital planning expectations for firms subject to Category I standards, including the criteria for LISCC firms, while SR 15-18 outlines the core capital planning expectations for Category I firms in general [2].</t>
  </si>
  <si>
    <t xml:space="preserve">gs-11</t>
  </si>
  <si>
    <t xml:space="preserve">question names SR 11-7, SS1/23 — no gate needed</t>
  </si>
  <si>
    <t xml:space="preserve">SR 11-7, SS1/23</t>
  </si>
  <si>
    <t xml:space="preserve">How do SR 11-7 and SS1/23 each frame the components of model validation?</t>
  </si>
  <si>
    <t xml:space="preserve">SR 11-7 sets three core elements of an effective validation framework: evaluation of conceptual soundness including developmental evidence, ongoing monitoring including process verification and benchmarking, and outcomes analysis including back-testing. SS1/23 sets independent model validation as Principle 4, broken into an independent validation function, independent review, process verification, model performance monitoring and periodic revalidation.</t>
  </si>
  <si>
    <t xml:space="preserve">SR 11-7 frames model validation as a set of processes and activities to verify that models are performing as expected, with emphasis on validation being performed by staff with appropriate incentives, competence, and influence. It also identifies potential limitations and assumptions and assesses their impact [1]. SS1/23 frames model validation as including verification of model inputs, calculations, and reporting outputs to ensure they are representative of the underlying portfolios, accurate, and compliant with data quality standards [2].</t>
  </si>
  <si>
    <t xml:space="preserve">gs-12</t>
  </si>
  <si>
    <t xml:space="preserve">question names Basel LEX, Basel RBC — no gate needed</t>
  </si>
  <si>
    <t xml:space="preserve">Basel RBC, Basel LEX</t>
  </si>
  <si>
    <t xml:space="preserve">Basel LEX, Basel RBC</t>
  </si>
  <si>
    <t xml:space="preserve">How do Basel RBC and Basel LEX each express their principal quantitative limit?</t>
  </si>
  <si>
    <t xml:space="preserve">Basel RBC expresses its minimums as percentages of risk-weighted assets: Common Equity Tier 1 at least 4.5%, Tier 1 at least 6% and Total capital at least 8.0% of risk-weighted assets. Basel LEX expresses its limit as a percentage of Tier 1 capital: exposures to a single counterparty or group of connected counterparties must not exceed 25% of Tier 1 capital, reduced to 15% for a G-SIB's exposures to another G-SIB.</t>
  </si>
  <si>
    <t xml:space="preserve">Basel RBC expresses its principal quantitative limit through the capital conservation buffer, which is a requirement for banks to maintain a certain level of capital relative to their risk-weighted assets. The buffer is designed to ensure banks do not operate in the buffer range solely to compete and win market share [1]. Basel LEX expresses its principal quantitative limit through the large exposure limit, which applies to a bank's exposure to another G-SIB at 15% of Tier 1 capital. This limit is applied at the consolidated level and allows for exceptions in specific cases [2].</t>
  </si>
  <si>
    <t xml:space="preserve">gs-13</t>
  </si>
  <si>
    <t xml:space="preserve">version</t>
  </si>
  <si>
    <t xml:space="preserve">version_fanout</t>
  </si>
  <si>
    <t xml:space="preserve">version question on MODEL_RISK_MANAGEMENT: SR 26-2 now, SR 11-7 before</t>
  </si>
  <si>
    <t xml:space="preserve">SR 11-7</t>
  </si>
  <si>
    <t xml:space="preserve">SR 15-18, SR 11-7, SR 15-19, 12 CFR Part 252</t>
  </si>
  <si>
    <t xml:space="preserve">What did the earlier US supervisory guidance set out as the core elements of model validation?</t>
  </si>
  <si>
    <t xml:space="preserve">The earlier guidance, SR 11-7, set out three core elements of an effective validation framework: evaluation of conceptual soundness including developmental evidence, ongoing monitoring including process verification and benchmarking, and outcomes analysis including back-testing.</t>
  </si>
  <si>
    <t xml:space="preserve">The earlier US supervisory guidance set out the core elements of model validation as including model validation, ongoing monitoring, and effective challenge of models [1]. These elements are further detailed in Section II of SR 11-7, which outlines the purpose and scope of model risk management and emphasizes the importance of validation and monitoring [2].</t>
  </si>
  <si>
    <t xml:space="preserve">gs-14</t>
  </si>
  <si>
    <t xml:space="preserve">(MODEL_RISK_MANAGEMENT x US) has 2 document(s)</t>
  </si>
  <si>
    <t xml:space="preserve">SR 26-2, SR 11-7, SR 15-18</t>
  </si>
  <si>
    <t xml:space="preserve">What did the previous US guidance expect on ongoing monitoring of models?</t>
  </si>
  <si>
    <t xml:space="preserve">Ongoing monitoring is the second core element of the validation process. It confirms that the model is appropriately implemented and is being used and performing as intended, and evaluates whether changes in products, exposures, activities, clients or market conditions require adjustment, redevelopment or replacement of the model. Monitoring begins when a model is first implemented in production and should continue periodically, and should include process verification and benchmarking.</t>
  </si>
  <si>
    <t xml:space="preserve">Previous US guidance expected banks to conduct ongoing monitoring of models to ensure they are appropriately implemented and being used, and to evaluate whether changes in products, exposures, activities, clients, or market conditions necessitate adjustment, redevelopment, or replacement of the model [1]. The guidance also emphasized the importance of regularly assessing model limitations identified during development and incorporating new data or modeling approaches into monitoring practices, while maintaining a program of ongoing testing and evaluation of model performance [1].</t>
  </si>
  <si>
    <t xml:space="preserve">gs-15</t>
  </si>
  <si>
    <t xml:space="preserve">inferred</t>
  </si>
  <si>
    <t xml:space="preserve">MODEL_RISK_MANAGEMENT exists for ['UK', 'US'] — which one?</t>
  </si>
  <si>
    <t xml:space="preserve">SR 11-7, SS1/23, SR 26-2</t>
  </si>
  <si>
    <t xml:space="preserve">SR 26-2, SS1/23, Basel CRE</t>
  </si>
  <si>
    <t xml:space="preserve">What validation activities are expected before a model is relied on for business decisions?</t>
  </si>
  <si>
    <t xml:space="preserve">Validation should evaluate the conceptual soundness of the model, including the logic, judgment and types of information used, and establish appropriate conditions for its use; qualitative and judgmental assessments should be conducted systematically, well supported and documented. Independent review of the suitability and conceptual soundness of the model is expected before reliance, alongside process verification.</t>
  </si>
  <si>
    <t xml:space="preserve">Before a model is relied on for business decisions, validation activities include a regular programme of backtesting, ex-post comparison of risk measures generated by the model against realised risk measures, and comparing hypothetical changes based on static positions with realised measures [1]. These validation activities are conducted independently of the model developers and involve an assessment of the relevance and availability of the information used to determine model tiers, as well as the accurate recording and maintenance of model tiering in the model inventory [2].</t>
  </si>
  <si>
    <t xml:space="preserve">gs-16</t>
  </si>
  <si>
    <t xml:space="preserve">DATA_QUALITY exists only for GLOBAL — no ambiguity</t>
  </si>
  <si>
    <t xml:space="preserve">BCBS 239, SS1/23</t>
  </si>
  <si>
    <t xml:space="preserve">What controls are expected around risk data aggregation?</t>
  </si>
  <si>
    <t xml:space="preserve">Risk data should be aggregated on a largely automated basis so as to minimise the probability of errors, and controls surrounding risk data should be as robust as those applicable to accounting data. Risk data should be reconciled with the bank's sources, including accounting data where appropriate, and a bank should strive towards a single authoritative source for risk data per type of risk.</t>
  </si>
  <si>
    <t xml:space="preserve">Banks are expected to develop and maintain strong risk data aggregation capabilities to ensure that risk management reports reflect the risks in a reliable way [1]. Risk data aggregation capabilities and risk reporting practices are considered separately in this paper, but they are clearly inter-linked and cannot exist in isolation. High quality risk management reports rely on the existence of strong risk data aggregation capabilities [1].</t>
  </si>
  <si>
    <t xml:space="preserve">gs-17</t>
  </si>
  <si>
    <t xml:space="preserve">STRESS_TESTING exists for ['GLOBAL', 'US'] — which one?</t>
  </si>
  <si>
    <t xml:space="preserve">What should a stress testing framework's objectives and governance arrangements cover?</t>
  </si>
  <si>
    <t xml:space="preserve">Stress testing frameworks should have clearly articulated and formally adopted objectives, documented and approved at board level or by an appropriately senior governance body, and consistent with the institution's risk management framework. The framework should also include an effective governance structure that is clear, comprehensive and documented, specifying roles and responsibilities of senior management, oversight bodies and those responsible for ongoing operation, and ensuring consistent oversight across the stages of the process.</t>
  </si>
  <si>
    <t xml:space="preserve">Stress testing frameworks should have clearly articulated and formally adopted objectives that are documented and approved at the board level of the organisation, or an appropriately senior-level governance body [1]. Stress testing frameworks should include an effective governance structure that is clear, comprehensive and documented, specifying the roles and responsibilities of senior management, oversight bodies and those responsible for the ongoing operation of the stress testing framework [2].</t>
  </si>
  <si>
    <t xml:space="preserve">gs-18</t>
  </si>
  <si>
    <t xml:space="preserve">cross_section</t>
  </si>
  <si>
    <t xml:space="preserve">What are the five principles set out in SS1/23?</t>
  </si>
  <si>
    <t xml:space="preserve">SS1/23 sets five principles: Principle 1 model identification and model risk classification; Principle 2 governance; Principle 3 model development, implementation and use; Principle 4 independent model validation; and Principle 5 model risk mitigants.</t>
  </si>
  <si>
    <t xml:space="preserve">The five principles set out in SS1/23 are: 1. Introduction, 2. Model risk mitigants, 3. Exceptions and escalations, 4. Internal Audit, and 5. Use of externally developed models, third-party vendor products [1]. The principles are designed to cover all elements of the model lifecycle and complement existing supervisory expectations. They include establishing policies and procedures for model risk mitigants, defining exceptions and escalations, conducting internal audits, and validating externally developed models [1].</t>
  </si>
  <si>
    <t xml:space="preserve">gs-19</t>
  </si>
  <si>
    <t xml:space="preserve">Under Basel LEX, when is an exposure defined as a large exposure?</t>
  </si>
  <si>
    <t xml:space="preserve">The sum of all exposure values of a bank to a counterparty or to a group of connected counterparties must be defined as a large exposure if it is equal to or above 10% of the bank's Tier 1 capital.</t>
  </si>
  <si>
    <t xml:space="preserve">An exposure is defined as a large exposure if it is equal to or above 10% of the bank's Tier 1 capital, as defined in CAP10.2, and this is specified in LEX10.8 [1]. The exposure values must be measured as specified in LEX30, and a bank must report exposures subject to the sovereign exemption if these exposures meet the criteria for definition as a large exposure, as specified in LEX30.33 [2].</t>
  </si>
  <si>
    <t xml:space="preserve">gs-20</t>
  </si>
  <si>
    <t xml:space="preserve">How does Basel LEX define a group of connected counterparties?</t>
  </si>
  <si>
    <t xml:space="preserve">Two or more natural or legal persons are a group of connected counterparties if at least one criterion is met: a control relationship, where one counterparty directly or indirectly has control over the other or others; or economic interdependence, where if one counterparty experienced financial problems the others would also likely encounter difficulties. Such a group must be treated as a single counterparty.</t>
  </si>
  <si>
    <t xml:space="preserve">A group of connected counterparties is defined as a group of counterparties with specific relationships or dependencies such that, were one of the counterparties to fail, all of the counterparties would very likely fail. This group must be treated as a single counterparty under Basel LEX [1]. The definition includes criteria such as control relationships, economic interdependence, and the likelihood of financial difficulties spreading among counterparties. Banks must assess these relationships to determine if a group of connected counterparties exists [1].</t>
  </si>
  <si>
    <t xml:space="preserve">gs-21</t>
  </si>
  <si>
    <t xml:space="preserve">question names Basel CAP — no gate needed</t>
  </si>
  <si>
    <t xml:space="preserve">Basel CAP</t>
  </si>
  <si>
    <t xml:space="preserve">Under Basel CAP, what must an instrument satisfy to be included in Common Equity Tier 1 capital?</t>
  </si>
  <si>
    <t xml:space="preserve">For an instrument to be included in Common Equity Tier 1 capital it must meet all of the criteria set out in CAP10.8. The vast majority of internationally active banks are structured as joint stock companies, and for these banks the criteria must be met solely with common shares. Where banks issue non-voting common shares as part of Common Equity Tier 1, those shares must be identical to voting common shares in all respects except the absence of voting rights.</t>
  </si>
  <si>
    <t xml:space="preserve">To be included in Common Equity Tier 1 capital, an instrument must meet all of the criteria outlined in Basel CAP, specifically CAP10.8. These criteria include being a common share issued by the bank, being subordinated to all senior claims, being perpetual with no maturity date, and not having any features that create an expectation of buyback, redemption, or cancellation [1]. The instrument must also satisfy additional requirements such as being issued and paid-in, being subordinated to depositors, general creditors, and subordinated debt of the bank, and not being secured or covered by a guarantee. Furthermore, it must be perpetual with no maturity date, step-ups, or incentives to redeem, and cannot be callable without prior supervisory approval [1].</t>
  </si>
  <si>
    <t xml:space="preserve">gs-22</t>
  </si>
  <si>
    <t xml:space="preserve">question names Basel SCO — no gate needed</t>
  </si>
  <si>
    <t xml:space="preserve">Basel SCO</t>
  </si>
  <si>
    <t xml:space="preserve">On what basis is the Basel framework applied under Basel SCO?</t>
  </si>
  <si>
    <t xml:space="preserve">The framework is applied on a consolidated basis to internationally active banks, because consolidated supervision is the best means to give supervisors a comprehensive view of risks and to reduce opportunities for regulatory arbitrage. The scope of application includes, on a fully consolidated basis, any holding company that is the parent entity within a banking group, so that the risk of the whole banking group is captured.</t>
  </si>
  <si>
    <t xml:space="preserve">The Basel framework is applied on a consolidated basis to internationally active banks [1]. The framework captures the risks of a whole banking group, including all levels of a banking group, on a fully consolidated basis [2].</t>
  </si>
  <si>
    <t xml:space="preserve">gs-23</t>
  </si>
  <si>
    <t xml:space="preserve">What does Principle 1 of BCBS 239 require?</t>
  </si>
  <si>
    <t xml:space="preserve">Principle 1 covers governance: a bank's risk data aggregation capabilities and risk reporting practices should be subject to strong governance arrangements consistent with the other principles and guidance established by the Basel Committee.</t>
  </si>
  <si>
    <t xml:space="preserve">Principle 1 of BCBS 239 requires that a bank's risk data aggregation capabilities and risk reporting practices be subject to strong governance arrangements consistent with other principles and guidance established by the Basel Committee [1]. The principle emphasizes the importance of governance in ensuring that risk data aggregation and reporting are managed effectively and aligned with the bank's overall risk management framework [1].</t>
  </si>
  <si>
    <t xml:space="preserve">gs-24</t>
  </si>
  <si>
    <t xml:space="preserve">question names BCBS d403 (PAP) — no gate needed</t>
  </si>
  <si>
    <t xml:space="preserve">BCBS d403 (PAP)</t>
  </si>
  <si>
    <t xml:space="preserve">Under BCBS d403, when a material exposure to a counterparty is non-performing, what happens to the bank's other exposures to that counterparty?</t>
  </si>
  <si>
    <t xml:space="preserve">When a material exposure to a counterparty is categorised as non-performing, all exposures to that counterparty should be categorised as non-performing. For retail exposures as defined in the Basel II standard, exposures can be categorised as non-performing on a transaction-by-transaction basis, and in those cases banks should consider the categorisation status of other exposures to the same counterparty.</t>
  </si>
  <si>
    <t xml:space="preserve">When a material exposure to a counterparty is non-performing under BCBS d403, the bank must consider all exposures to that counterparty as non-performing if any one of the material exposures is non-performing [1]. For retail counterparties with multiple exposures, the bank should consider the non-performing or performing status of the other exposures when deciding about the status of a given exposure [1].</t>
  </si>
  <si>
    <t xml:space="preserve">gs-25</t>
  </si>
  <si>
    <t xml:space="preserve">Under BCBS d403, what criteria must be met before a non-performing exposure can be recategorised as performing?</t>
  </si>
  <si>
    <t xml:space="preserve">An exposure ceases to be non-performing and can be recategorised as performing when all of the following are simultaneously met: the counterparty does not have any material exposure more than 90 days past due; repayments have been made when due over a continuous repayment period specified by the supervisor of at least three months; the counterparty's situation has improved so that full repayment is likely; and the exposure is not defaulted under the Basel II standard or impaired under the applicable accounting framework.</t>
  </si>
  <si>
    <t xml:space="preserve">Before a non-performing exposure can be recategorised as performing, all four criteria must be simultaneously met: (i) the counterparty does not have any material exposure more than 90 days past due; (ii) repayments have been made when due over a continuous repayment period as specified by the supervisor of at least three months; (iii) the counterparty's situation has improved so that the full repayment of the exposure is likely, according to the original or, when applicable, modified conditions; and (iv) the exposure is not 'defaulted' according to the Basel II standard or 'impaired' according to the applicable accounting framework [1]. The recategorisation should be made on the same level (ie debtor or transaction approach) as when the exposure was originally categorised as non-performing [2].</t>
  </si>
  <si>
    <t xml:space="preserve">gs-26</t>
  </si>
  <si>
    <t xml:space="preserve">Under SS1/23, what does Principle 5 require on model risk mitigants?</t>
  </si>
  <si>
    <t xml:space="preserve">Firms should have established policies and procedures for the use of model risk mitigants when models are under-performing, and should have procedures for the independent review of post-model adjustments.</t>
  </si>
  <si>
    <t xml:space="preserve">Principle 5 requires the board to set a model risk appetite that articulates the level and types of model risk the firm is willing to accept, and includes measures for effectiveness of the design and operation of the MRM framework, identifying models and approving their use, limits on model use, exceptions, and overall compliance, thresholds for acceptable model performance and tolerance for errors, and effectiveness of use of model risk mitigants and oversight of the use of expert judgement [1]. Principle 5 also requires the board to receive regular reports on the firms' model risk profile against its model risk appetite, including qualitative measures describing the effectiveness of the control framework and model use, significant model risks arising either from individual models or in aggregate, significant changes in model performance over time, and the extent of compliance with the MRM framework [1].</t>
  </si>
  <si>
    <t xml:space="preserve">gs-27</t>
  </si>
  <si>
    <t xml:space="preserve">question names SR 11-7 — no gate needed</t>
  </si>
  <si>
    <t xml:space="preserve">Under SR 11-7, what should validation establish about the qualitative information and judgment used in model development?</t>
  </si>
  <si>
    <t xml:space="preserve">Qualitative information and judgment used in model development should be evaluated, including the logic, judgment and types of information used, to establish the conceptual soundness of the model and set appropriate conditions for its use. The validation process should ensure that qualitative, judgmental assessments are conducted in an appropriate and systematic manner, are well supported, and are documented.</t>
  </si>
  <si>
    <t xml:space="preserve">Validation should establish the conceptual soundness of the model and set appropriate conditions for its use, including evaluating the logic, judgment, and types of information used in model development [1]. Qualitative information and judgment used in model development should be evaluated to ensure they are well-supported, documented, and consistent with the model's design and business uses [1].</t>
  </si>
  <si>
    <t xml:space="preserve">gs-28</t>
  </si>
  <si>
    <t xml:space="preserve">question names Basel SRP32 — no gate needed</t>
  </si>
  <si>
    <t xml:space="preserve">Basel SRP32</t>
  </si>
  <si>
    <t xml:space="preserve">Under Basel SRP32, how do credit risk stress test results affect a bank's capital expectation?</t>
  </si>
  <si>
    <t xml:space="preserve">A bank should ensure it has sufficient capital to meet the Pillar 1 requirements and the results, where a deficiency has been indicated, of the credit risk stress test performed as part of the Pillar 1 internal ratings-based minimum requirements. The results of the stress test contribute directly to the expectation that a bank will operate above the Pillar 1 minimum regulatory capital ratios.</t>
  </si>
  <si>
    <t xml:space="preserve">Credit risk stress test results contribute directly to the expectation that a bank will operate above the Pillar 1 minimum regulatory capital ratios [1]. Supervisors will consider whether a bank has sufficient capital for these purposes. To the extent that there is a shortfall, the supervisor will react appropriately, often requiring the bank to reduce its risks and/or hold additional capital/provisions [1].</t>
  </si>
  <si>
    <t xml:space="preserve">gs-29</t>
  </si>
  <si>
    <t xml:space="preserve">question names Basel CRE — no gate needed</t>
  </si>
  <si>
    <t xml:space="preserve">Basel CRE</t>
  </si>
  <si>
    <t xml:space="preserve">Under Basel CRE, what may a bank do where it takes eligible financial collateral?</t>
  </si>
  <si>
    <t xml:space="preserve">Where banks take eligible financial collateral they may reduce their regulatory capital requirements through the application of credit risk mitigation techniques. Alternatively, banks with appropriate supervisory approval may instead use the internal models method for counterparty credit risk to determine the exposure amount, taking collateral into account.</t>
  </si>
  <si>
    <t xml:space="preserve">Where a bank takes eligible financial collateral, it may reduce its regulatory capital requirements through the application of CRM techniques [1]. Banks may opt for either the simple approach, which replaces the risk weight of the counterparty with the risk weight of the collateral for the collateralised portion of the exposure, or the comprehensive approach, which allows a more precise offset of collateral against exposures [1].</t>
  </si>
  <si>
    <t xml:space="preserve">gs-30</t>
  </si>
  <si>
    <t xml:space="preserve">Under Basel RBC, what capital conservation applies to a bank whose CET1 ratio is between 5.125% and 5.75%?</t>
  </si>
  <si>
    <t xml:space="preserve">A bank with a Common Equity Tier 1 capital ratio in the range of 5.125% to 5.75% is required to conserve 80% of its earnings in the subsequent payment period, meaning it may pay out no more than 20% in dividends, share buybacks and discretionary bonus payments.</t>
  </si>
  <si>
    <t xml:space="preserve">Under Basel RBC, a bank whose CET1 ratio is between 5.125% and 5.75% is required to conserve 80% of its earnings in the subsequent payment period, which means it may distribute up to 20% of its earnings [1]. The capital conservation buffer is recalculated at each distribution date, and the constraints imposed on banks with capital levels at the top of the range are minimal, reflecting an expectation that banks' capital levels will, where necessary, be allowed to fall into the buffer range [1].</t>
  </si>
  <si>
    <t xml:space="preserve">gs-31</t>
  </si>
  <si>
    <t xml:space="preserve">question names IFRS 9 (credit risk extract) — no gate needed</t>
  </si>
  <si>
    <t xml:space="preserve">IFRS 9 (credit risk extract)</t>
  </si>
  <si>
    <t xml:space="preserve">Under IFRS 9, what does the more than 30 days past due rebuttable presumption mean and can it be rebutted?</t>
  </si>
  <si>
    <t xml:space="preserve">The rebuttable presumption is not an absolute indicator that lifetime expected credit losses should be recognised, but is presumed to be the latest point at which lifetime expected credit losses should be recognised. An entity can rebut the presumption only when it has reasonable and supportable information demonstrating that payments more than 30 days past due do not represent a significant increase in credit risk, for example where non-payment was an administrative oversight rather than financial difficulty.</t>
  </si>
  <si>
    <t xml:space="preserve">The rebuttable presumption in paragraph 5.5.11 states that if contractual payments are more than 30 days past due, the credit risk of a financial instrument is presumed to have increased significantly since initial recognition, even if forward-looking information is not available [1]. An entity can rebut this presumption if it has reasonable and supportable information demonstrating that the credit risk has not increased significantly despite the contractual payments being more than 30 days past due [1].</t>
  </si>
  <si>
    <t xml:space="preserve">gs-32</t>
  </si>
  <si>
    <t xml:space="preserve">Under Basel LEX, when must a bank look through a structure to the underlying assets?</t>
  </si>
  <si>
    <t xml:space="preserve">A bank must look through the structure to identify those underlying assets for which the underlying exposure value is equal to or above 0.25% of its Tier 1 capital. A bank may instead assign the exposure amount to the structure itself if it can demonstrate that its exposure to each underlying asset is smaller than 0.25% of Tier 1 capital.</t>
  </si>
  <si>
    <t xml:space="preserve">A bank must look through a structure to identify those underlying assets for which the underlying exposure value is equal to or above 0.25% of its Tier 1 capital [1]. If the underlying exposure value is below 0.25% of its Tier 1 capital, the bank may assign the exposure amount to the structure itself (partial lookthrough is permitted) [1].</t>
  </si>
  <si>
    <t xml:space="preserve">gs-33</t>
  </si>
  <si>
    <t xml:space="preserve">SS1/23, SR 11-7</t>
  </si>
  <si>
    <t xml:space="preserve">12 CFR Part 252, SS1/23, SR 15-18, SR 15-19</t>
  </si>
  <si>
    <t xml:space="preserve">What do UK and US supervisory expectations each say about the independence of model validation?</t>
  </si>
  <si>
    <t xml:space="preserve">SS1/23 sets independent model validation as Principle 4, covering an independent validation function, independent review, process verification, model performance monitoring and periodic revalidation. SR 11-7 states that validation should be performed by staff with appropriate incentives, competence and influence, and frames validation around conceptual soundness, ongoing monitoring and outcomes analysis.</t>
  </si>
  <si>
    <t xml:space="preserve">UK supervisory expectations emphasize the importance of independence in model validation, requiring the validation function to operate independently from the model development process and model owners. This independence is crucial for providing an objective and unbiased evaluation of models, as stated in SR 15-18, 2. Model Validation and Independent Review of Estimation Approaches [1]. US supervisory expectations, as outlined in 12 CFR Part 252, (a) and (c), also stress the independence of the supervisory stress test and the validation process. The Federal Reserve's supervisory model validation program is designed to ensure that stress test models are subject to effective challenge, with validation staff operating independently from the model development function [2].</t>
  </si>
  <si>
    <t xml:space="preserve">gs-34</t>
  </si>
  <si>
    <t xml:space="preserve">What do UK and US expectations each say about policies and procedures for model risk?</t>
  </si>
  <si>
    <t xml:space="preserve">SS1/23 Principle 2.3 covers policies and procedures, with the accountable Senior Management Function ensuring the adequacy of board-level policies for material and complex model types, supplemented with more detailed model or risk specific procedures. SR 26-2 states that effective policies define risk management expectations and establish a framework for assessing the magnitude of model risk, and that procedures support policy implementation by establishing a monitoring and control process and specifying the allocation of resources to that process.</t>
  </si>
  <si>
    <t xml:space="preserve">UK expectations emphasize the need for comprehensive policies and procedures that formalize the MRM framework and ensure effective and consistent application across the firm. These policies must be approved by the board and reviewed regularly to align with the firm's model risk appetite, economic environment, and regulatory landscape [1]. US expectations, as outlined in SS1/23, Principle 2.3, require firms to establish policies and procedures across all aspects of the model lifecycle, including definitions of models and model risk, model tiering, and standards for model development and validation. These policies must align with broader risk management policies and be regularly assessed and reported to the board [1].</t>
  </si>
  <si>
    <t xml:space="preserve">gs-35</t>
  </si>
  <si>
    <t xml:space="preserve">SR 26-2, SS1/23, SR 15-18, SR 15-19</t>
  </si>
  <si>
    <t xml:space="preserve">What do UK and US frameworks each say about ongoing monitoring of model performance?</t>
  </si>
  <si>
    <t xml:space="preserve">SS1/23 covers model performance monitoring under Principle 4.4 and periodic revalidation under Principle 4.5, within independent model validation. SR 11-7 makes ongoing monitoring the second core element of validation: it confirms the model is appropriately implemented and performing as intended, begins when the model is first implemented in production, continues periodically, and includes process verification and benchmarking.</t>
  </si>
  <si>
    <t xml:space="preserve">UK frameworks, such as SR 26-2, emphasize that ongoing model monitoring involves evaluating the extent to which a model performs as expected given potential changes in products, exposures, activities, clients, data relevance, or market conditions. This includes assessing whether model limitations should be addressed through adjustments, recalibration, or redevelopment [1]. US frameworks, such as SS1/23, Principle 4.4, highlight that model performance monitoring should be conducted on an ongoing basis with a frequency determined by the model tier. It also stresses the importance of ensuring parameter estimates and model constructs are appropriate and valid, and that assumptions are applicable for the model's intended use [2].</t>
  </si>
  <si>
    <t xml:space="preserve">gs-36</t>
  </si>
  <si>
    <t xml:space="preserve">question names BCBS 239, BCBS d450 — no gate needed</t>
  </si>
  <si>
    <t xml:space="preserve">BCBS 239, BCBS d450</t>
  </si>
  <si>
    <t xml:space="preserve">BCBS d450, BCBS 239</t>
  </si>
  <si>
    <t xml:space="preserve">How do BCBS 239 and BCBS d450 each frame governance?</t>
  </si>
  <si>
    <t xml:space="preserve">BCBS 239 makes governance Principle 1: risk data aggregation capabilities and risk reporting practices should be subject to strong governance arrangements consistent with the Committee's other principles and guidance. BCBS d450 makes governance its second principle: stress testing frameworks should include a governance structure that is clear, comprehensive and documented, specifying roles and responsibilities of senior management, oversight bodies and those responsible for ongoing operation.</t>
  </si>
  <si>
    <t xml:space="preserve">BCBS 239 frames governance by emphasizing the importance of risk data aggregation capabilities and risk reporting practices, highlighting the need for appropriate management information systems (MIS) and the role of data architecture in supporting effective risk management [1]. BCBS d450 frames governance by requiring banks to ensure the flexibility and coherence of data sources, processing, and aggregation across stress tests, and by establishing governance arrangements for risk data aggregation capabilities [2].</t>
  </si>
  <si>
    <t xml:space="preserve">gs-37</t>
  </si>
  <si>
    <t xml:space="preserve">question names Basel CAP, Basel SCO — no gate needed</t>
  </si>
  <si>
    <t xml:space="preserve">Basel CAP, Basel SCO</t>
  </si>
  <si>
    <t xml:space="preserve">How do Basel CAP and Basel SCO each define their scope — instruments versus entities?</t>
  </si>
  <si>
    <t xml:space="preserve">Basel CAP sets the criteria an instrument must meet to be included in Common Equity Tier 1 capital, requiring all the criteria in CAP10.8 to be met and, for joint stock companies, met solely with common shares. Basel SCO sets the scope of application of the framework by entity: it is applied on a consolidated basis to internationally active banks and includes, on a fully consolidated basis, any holding company that is the parent entity within a banking group.</t>
  </si>
  <si>
    <t xml:space="preserve">Basel CAP defines its scope as 'instruments' that are capital instruments, such as shares, other TLAC liabilities, or other capital instruments, and specifies that these instruments are phased out or subject to deductions under certain conditions [1]. Basel SCO defines its scope as 'entities' that are financial institutions, banks, insurance companies, or other entities, and outlines how exposure to cryptoassets is treated under the Basel Framework [2].</t>
  </si>
  <si>
    <t xml:space="preserve">gs-38</t>
  </si>
  <si>
    <t xml:space="preserve">question names BCBS d403 (PAP), IFRS 9 (credit risk extract) — no gate needed</t>
  </si>
  <si>
    <t xml:space="preserve">IFRS 9 (credit risk extract), BCBS d403 (PAP)</t>
  </si>
  <si>
    <t xml:space="preserve">BCBS d403 (PAP), IFRS 9 (credit risk extract)</t>
  </si>
  <si>
    <t xml:space="preserve">How do IFRS 9 and BCBS d403 each use a past due threshold?</t>
  </si>
  <si>
    <t xml:space="preserve">IFRS 9 uses a rebuttable presumption that credit risk has increased significantly when contractual payments are more than 30 days past due, and that presumption can be rebutted with reasonable and supportable information. BCBS d403 uses 90 days past due in the criteria for recategorising a non-performing exposure as performing: the counterparty must not have any material exposure more than 90 days past due.</t>
  </si>
  <si>
    <t xml:space="preserve">IFRS 9 uses a 90 DPD threshold for all types of exposure (retail and commercial) under the Standardised Approach, but allows a 180 DPD threshold for retail and public sector exposures under the IRB approach [1]. BCBS d403 applies a 90 DPD threshold for all types of exposure (retail and commercial) and allows a 180 DPD threshold for retail and public sector exposures, but specifies that non-performing status should be applied at the counterparty level for exposures to non-retail counterparties with multiple exposures [2].</t>
  </si>
  <si>
    <t xml:space="preserve">gs-39</t>
  </si>
  <si>
    <t xml:space="preserve">How do SR 15-18 and SR 15-19 each describe the areas of capital planning expectations they cover?</t>
  </si>
  <si>
    <t xml:space="preserve">Both letters outline capital planning expectations in the same areas: governance, risk management, internal controls, capital policy, incorporating stressful conditions and events, and estimating the impact on capital positions. SR 15-18 sets them for firms subject to Category I standards and SR 15-19 for firms subject to Category II or III standards.</t>
  </si>
  <si>
    <t xml:space="preserve">SR 15-18 describes the areas of capital planning expectations for firms subject to Category I standards, including governance, risk management, internal controls, capital policy, incorporating stressful conditions and events, and estimating impact on capital positions [1]. SR 15-19 describes the areas of capital planning expectations for firms subject to Category II or III standards, including governance, risk management, internal controls, capital policy, incorporating stressful conditions and events, and estimating impact on capital positions [2].</t>
  </si>
  <si>
    <t xml:space="preserve">gs-40</t>
  </si>
  <si>
    <t xml:space="preserve">What is expected of the governance arrangements over risk data aggregation and reporting?</t>
  </si>
  <si>
    <t xml:space="preserve">Risk data aggregation capabilities and risk reporting practices should be subject to strong governance arrangements consistent with the other principles and guidance established by the Basel Committee.</t>
  </si>
  <si>
    <t xml:space="preserve">Governance arrangements over risk data aggregation and reporting should be subject to strong governance arrangements consistent with other principles and guidance established by the Basel Committee [1]. A bank's board and senior management should promote the identification, assessment, and management of data quality risks as part of its overall risk management framework. The framework should include agreed service level standards for both outsourced and in-house risk data-related processes, and a firm's policies on data confidentiality, integrity, and availability, as well as risk management policies [1].</t>
  </si>
  <si>
    <t xml:space="preserve">gs-41</t>
  </si>
  <si>
    <t xml:space="preserve">fallback</t>
  </si>
  <si>
    <t xml:space="preserve">12 CFR Part 252, Basel LEX, BCBS d403 (PAP)</t>
  </si>
  <si>
    <t xml:space="preserve">When must exposures to different legal entities be treated as exposures to a single counterparty?</t>
  </si>
  <si>
    <t xml:space="preserve">Where counterparties have specific relationships or dependencies such that the failure of one would very likely cause the others to fail, they form a group of connected counterparties and must be treated as a single counterparty. The criteria are a control relationship, where one counterparty directly or indirectly controls the others, or economic interdependence.</t>
  </si>
  <si>
    <t xml:space="preserve">Exposures to different legal entities must be treated as exposures to a single counterparty if they form a group of connected counterparties, as defined in the Basel framework [1]. In the case of a group of connected counterparties, the bank must treat all exposures to the group as a single counterparty for the purpose of applying the large exposure limit and regulatory reporting requirements [1].</t>
  </si>
  <si>
    <t xml:space="preserve">gs-42</t>
  </si>
  <si>
    <t xml:space="preserve">SS1/23, SR 15-18, SR 15-19</t>
  </si>
  <si>
    <t xml:space="preserve">What is expected of the documentation of judgmental assessments made during model development?</t>
  </si>
  <si>
    <t xml:space="preserve">Qualitative and judgmental assessments made in model development should be conducted in an appropriate and systematic manner, be well supported, and be documented, so that the conceptual soundness of the model can be established and appropriate conditions for its use set.</t>
  </si>
  <si>
    <t xml:space="preserve">Documentation of judgmental assessments made during model development should be comprehensive and up-to-date, including the design, theory, and logic underlying the model development process [1]. Model development documentation must be detailed enough for an independent third party to understand how the model operates, identify key assumptions and limitations, and replicate parameter estimation and model results [1].</t>
  </si>
  <si>
    <t xml:space="preserve">gs-43</t>
  </si>
  <si>
    <t xml:space="preserve">BCBS d450, 12 CFR Part 252</t>
  </si>
  <si>
    <t xml:space="preserve">Who should be responsible for the oversight of a stress testing framework?</t>
  </si>
  <si>
    <t xml:space="preserve">The governance structure should specify the roles and responsibilities of senior management, oversight bodies and those responsible for the ongoing operation of the stress testing framework, identify all key stakeholders, and ensure full and consistent oversight and monitoring of the actions taken at the different stages of the stress testing process.</t>
  </si>
  <si>
    <t xml:space="preserve">The board of directors or a committee thereof of a covered company must review and approve the policies and procedures of the stress testing processes as frequently as economic conditions or the condition of the covered company may warrant, but no less than each year a stress test is conducted [1]. Authorities should ensure that a comprehensive governance structure for all aspects of their stress testing framework is formulated by key stakeholders [2].</t>
  </si>
  <si>
    <t xml:space="preserve">gs-44</t>
  </si>
  <si>
    <t xml:space="preserve">SR 15-18, SR 11-7, SR 15-19, SR 26-2, 12 CFR Part 252</t>
  </si>
  <si>
    <t xml:space="preserve">What did the earlier US guidance say about who should perform model validation?</t>
  </si>
  <si>
    <t xml:space="preserve">The earlier guidance, SR 11-7, states that model validation is the set of processes and activities intended to verify that models are performing as expected, in line with their design objectives and business uses, and that as with other aspects of effective challenge, validation should be performed by staff with appropriate incentives, competence and influence.</t>
  </si>
  <si>
    <t xml:space="preserve">Earlier US guidance stated that model validation should be performed by staff with appropriate incentives, competence, and influence [1]. This guidance emphasized that validation should be conducted by individuals who are not responsible for model development or use and should not have a stake in the model's validity [1].</t>
  </si>
  <si>
    <t xml:space="preserve">gs-45</t>
  </si>
  <si>
    <t xml:space="preserve">SR 15-18, SR 11-7, SR 15-19</t>
  </si>
  <si>
    <t xml:space="preserve">What did the previous US guidance say about the scope of what should be validated?</t>
  </si>
  <si>
    <t xml:space="preserve">All model components, including input, processing and reporting, should be subject to validation, and this applies equally to models developed in-house and to those purchased from or developed by vendors or consultants. The rigour and sophistication of validation should be commensurate with the bank's overall use of models, the complexity and materiality of its models, and the size and complexity of the bank's operations.</t>
  </si>
  <si>
    <t xml:space="preserve">Previous US guidance, such as SR 11-7, emphasized the importance of rigorous model validation in model risk management and expanded on existing guidance to include all aspects of model risk management [1]. The guidance also highlighted the need for sound development, implementation, and use of models, and included governance and control mechanisms such as board and senior management oversight, policies and procedures, controls and compliance, and an appropriate incentive and organizational structure [1].</t>
  </si>
  <si>
    <t xml:space="preserve">gs-46</t>
  </si>
  <si>
    <t xml:space="preserve">What do Principles 1, 3 and 5 of BCBS 239 each cover?</t>
  </si>
  <si>
    <t xml:space="preserve">Principle 1 covers governance: risk data aggregation capabilities and risk reporting practices should be subject to strong governance arrangements. Principle 3 covers accuracy and integrity: a bank should be able to generate accurate and reliable risk data, aggregated on a largely automated basis to minimise the probability of errors. Principle 5 covers timeliness: a bank should be able to generate aggregate and up-to-date risk data in a timely manner.</t>
  </si>
  <si>
    <t xml:space="preserve">Principle 1 of BCBS 239 covers overarching governance and infrastructure [1]. Principle 3 of BCBS 239 covers risk reporting practices [1]. Principle 5 of BCBS 239 covers supervisory review, tools and cooperation [1].</t>
  </si>
  <si>
    <t xml:space="preserve">gs-47</t>
  </si>
  <si>
    <t xml:space="preserve">What are the three core elements of validation under SR 11-7 and what does each involve?</t>
  </si>
  <si>
    <t xml:space="preserve">An effective validation framework should include three core elements: evaluation of conceptual soundness, including developmental evidence; ongoing monitoring, including process verification and benchmarking; and outcomes analysis, including back-testing.</t>
  </si>
  <si>
    <t xml:space="preserve">The three core elements of validation under SR 11-7 are evaluation of conceptual soundness, ongoing monitoring, and outcomes analysis [1]. Evaluation of conceptual soundness involves developmental evidence and ensuring the model is appropriately implemented. Ongoing monitoring includes process verification, benchmarking, and regular assessment of model limitations. Outcomes analysis compares model outputs to actual outcomes and involves statistical tests, expert judgment, and back-testing to evaluate model performance [2].</t>
  </si>
  <si>
    <t xml:space="preserve">gs-48</t>
  </si>
  <si>
    <t xml:space="preserve">Under SS1/23, what do Principles 1, 4 and 5 each require?</t>
  </si>
  <si>
    <t xml:space="preserve">Principle 1 covers model identification and model risk classification: firms should have an established definition of a model, a model inventory, and a risk-based tiering approach. Principle 4 covers independent model validation, including an independent validation function, independent review, process verification, model performance monitoring and periodic revalidation. Principle 5 covers model risk mitigants: policies and procedures for their use when models are under-performing, and independent review of post-model adjustments.</t>
  </si>
  <si>
    <t xml:space="preserve">Principle 1 requires firms to identify, manage, and control the risks associated with the use of all models, including vendor models and models used for financial reporting purposes [1]. Principle 4 requires firms to strengthen their policies, procedures, and practices to identify, manage, and control the risks associated with the use of all models, including vendor models and models used for financial reporting purposes [1]. Principle 5 requires firms to establish escalation procedures to be followed and to manage exceptions when models are used outside their intended purpose or when model performance deviates from expectation [2].</t>
  </si>
  <si>
    <t xml:space="preserve">Every passage DELIVERED to the model, one row per passage. 'best rerank' is the highest cross-encoder score among the child chunks that matched inside this parent. Passage text truncated to 3,000 characters for file size — the full text is in the run JSON.</t>
  </si>
  <si>
    <t xml:space="preserve">label</t>
  </si>
  <si>
    <t xml:space="preserve">document</t>
  </si>
  <si>
    <t xml:space="preserve">locator</t>
  </si>
  <si>
    <t xml:space="preserve">unit locators</t>
  </si>
  <si>
    <t xml:space="preserve">chars</t>
  </si>
  <si>
    <t xml:space="preserve">children</t>
  </si>
  <si>
    <t xml:space="preserve">best rerank</t>
  </si>
  <si>
    <t xml:space="preserve">passage text (truncated)</t>
  </si>
  <si>
    <t xml:space="preserve">S1</t>
  </si>
  <si>
    <t xml:space="preserve">bcbs-rbc-consolidated::RBC30::0004</t>
  </si>
  <si>
    <t xml:space="preserve">RBC30.3, RBC30.4</t>
  </si>
  <si>
    <t xml:space="preserve">Footnotes
1 Common Equity Tier 1 must first be used to meet the minimum capital and total lossabsorbing capacity (TLAC) requirements if necessary (including the 6% Tier 1, 8% Total capital requirements), before the remainder can contribute to the capital conservation buffer.
30.3 The distribution constraints imposed on banks when their capital levels fall into the range increase as the banks' capital levels approach the minimum requirements. By design, the constraints imposed on banks with capital levels at the top of the range would be minimal. This reflects an expectation that banks' capital levels will from time to time fall into this range. The Basel Committee does not wish to impose constraints for entering the range that would be so restrictive as to result in the range being viewed as establishing a new minimum capital requirement.
30.4 The table below shows the minimum capital conservation ratios a bank must meet at various levels of CET1 capital ratios. The applicable conservation standards must be recalculated at each distribution date. For example, a bank with a CET1 capital ratio in the range of 5.125% to 5.75% is required to conserve 80% of its earnings in the subsequent payment period (ie pay out no more than 20% in terms of dividends, share buybacks and discretionary bonus payments). If the bank wants to make payments in excess of the constraints imposed by this regime, it would have the option of raising capital in the private sector equal to the amount above the constraint which it wishes to distribute. This would be discussed with the bank's supervisor as part of the capital planning process. The CET1 ratio includes amounts used to meet the 4.5% minimum CET1 requirement, but excludes any additional CET1 needed to meet the 6% Tier 1 and 8% Total Capital requirements, and also excludes any CET1 needed to meet the total loss-absorbing capacity (TLAC) requirement. For example, a bank with 8% CET1 and no Additional Tier 1 or Tier 2 capital, that has 10% of non-regulatory-capital TLAC instruments, would meet its minimum risk-based capital and risk-based TLAC requirements, but would have a zero conservation buffer and therefore be subject to the 100% constraint on capital distributions.</t>
  </si>
  <si>
    <t xml:space="preserve">S2</t>
  </si>
  <si>
    <t xml:space="preserve">bcbs-rbc-consolidated::RBC30::0013</t>
  </si>
  <si>
    <t xml:space="preserve">RBC30.16, RBC30.17</t>
  </si>
  <si>
    <t xml:space="preserve">Extension of the capital conservation buffer
30.16 The countercyclical buffer requirement to which a bank is subject is implemented through an extension of the capital conservation buffer described in RBC30.1 to RBC30.5.
30.17 The table below shows the minimum capital conservation ratios a bank must meet at various levels of the CET1 capital ratio. 6 When the countercyclical capital buffer is zero in all of the regions to which a bank has private sector credit exposures, the capital levels and</t>
  </si>
  <si>
    <t xml:space="preserve">S3</t>
  </si>
  <si>
    <t xml:space="preserve">bcbs-rbc-consolidated::RBC30::0006</t>
  </si>
  <si>
    <t xml:space="preserve">FAQ1, FAQ1</t>
  </si>
  <si>
    <t xml:space="preserve">FAQ1
RBC30.4 shows the minimum capital conservation ratios a bank must meet at various CET1 ratios. RBC30.5(4) states that the capital conservation buffer 'must be capable of being drawn down', but that 'banks should not choose in normal times to operate in the buffer range simply to compete with other banks and win market share'. Are the following interpretations correct, despite implying some discontinuities in the levels of capital conservation? (a) A non-global systemically important bank (G-SIB) with a CET1 ratio between 5.125% and 5.75% may distribute up to 20% of its earnings, provided that in doing so its CET1 ratio does not fall below 5.125%, ie a bank may only fall into the final quartile of the capital conservation buffer as a result of making losses, rather than distributions. (b) A non-G-SIB with a 10.51% CET1 ratio and no Additional Tier 1 and Tier 2 capital (ie meeting minimum capital and buffer requirements solely with CET1) may make distributions equivalent to only 0.01% of risk-weighted assets (RWA), while a bank with a CET1 ratio of 10.45% (and no Additional Tier 1 and Tier 2 capital) may distribute up to 60% of its earnings, providing its CET1 ratio does not fall into the next quartile of the buffer.
The limits on distributions set out in the Basel III buffers framework are not intended to operate as set out in interpretations (a) and (b). As stated in RBC30.3, capital buffers are not intended to be viewed as a minimum capital requirement. By design, the constraints imposed on banks with capital levels at the top of the range are minimal and the Committee expects that banks' capital levels will, where necessary, be allowed to fall into the buffer range. The capital conservation ratios set out in RBC30.4 need only take into account the current CET1 ratio of a bank (ie before the next distribution is made). Nonetheless, banks should discuss proposed distributions with their supervisors, who will consider these in the light of banks' capital plans to rebuild buffers over an appropriate timeframe (as anticipated in RBC30.5(4)).
It should be noted that Basel standards constitute minimum requirements and jurisdictions may decide to apply a more conservative treatment.</t>
  </si>
  <si>
    <t xml:space="preserve">S4</t>
  </si>
  <si>
    <t xml:space="preserve">bcbs-rbc-consolidated::RBC30::0015</t>
  </si>
  <si>
    <t xml:space="preserve">RBC30.18</t>
  </si>
  <si>
    <t xml:space="preserve">Footnotes
6
Consistent with the conservation buffer, the CET1 ratio in this context includes amounts used to meet the 4.5% minimum CET1 requirement, but excludes any additional CET1 needed to meet the 6% Tier 1 and 8% Total Capital requirements and the minimum TLAC requirement.
30.18 For illustrative purposes, the following table sets out the conservation ratios a bank must meet at various levels of CET1 capital if the bank is subject to a 2.5% countercyclical buffer requirement.</t>
  </si>
  <si>
    <t xml:space="preserve">bcbs-lex-consolidated::LEX10::0004</t>
  </si>
  <si>
    <t xml:space="preserve">LEX10.7</t>
  </si>
  <si>
    <t xml:space="preserve">Scope of counterparties and exemptions
10.7 A bank must consider exposures to any counterparty. The only counterparties that are exempted from the framework are sovereigns as defined in LEX30.31. LEX30.31 to LEX30.59 sets out the types of counterparties that are exempted from the large exposure limit or for which another specific treatment is necessary. Any exposure type not included in LEX30.31 to LEX30.59 is subject in all respects to the large exposure limit.</t>
  </si>
  <si>
    <t xml:space="preserve">bcbs-lex-consolidated::LEX30::0003</t>
  </si>
  <si>
    <t xml:space="preserve">LEX30.1, LEX30.2</t>
  </si>
  <si>
    <t xml:space="preserve">General measurement principles
30.1 The exposure values a bank must consider in order to identify large exposures to a counterparty are all those exposures defined under the risk-based capital framework. It must consider both on- and off-balance sheet exposures included in either the banking or trading book and instruments with counterparty credit risk under the risk-based capital framework.
30.2 An exposure amount to a counterparty that is deducted from capital must not be added to other exposures to that counterparty for the purpose of the large exposure limit. 1 Footnotes
1 This general approach does not apply where an exposure is 1,250% risk-weighted. When this is the case, this exposure must be added to any other exposures to the same counterparty and the sum is subject to the large exposure limit, except if this exposure is specifically exempted for other reasons.</t>
  </si>
  <si>
    <t xml:space="preserve">bcbs-lex-consolidated::LEX30::0015</t>
  </si>
  <si>
    <t xml:space="preserve">LEX30.41, LEX30.42, LEX30.43, LEX30.44, LEX30.45, LEX30.46, LEX30.47, LEX30.48, LEX30.49, LEX30.50, LEX30.51</t>
  </si>
  <si>
    <t xml:space="preserve">Collective investment undertakings, securitisation vehicles and other structures
30.41 Banks must consider exposures even when a structure lies between the bank and the exposures, that is, even when the bank invests in structures through an entity which itself has exposures to assets (hereafter referred to as the "underlying assets"). Banks must assign the exposure amount, ie the amount invested in a particular structure, to specific counterparties following the approach described below. Such structures include funds, securitisations and other structures with underlying assets.
30.42 A bank may assign the exposure amount to the structure itself, defined as a distinct counterparty, if it can demonstrate that the bank's exposure amount to each underlying asset of the structure is smaller than 0.25% of its Tier 1 capital, considering only those exposures to underlying assets that result from the investment in the structure itself and using the exposure value calculated according to LEX30.48 and LEX30.49. 11 In this case, a bank is not required to look through the structure to identify the underlying assets. Footnotes
11 By definition, this required test will be passed if the bank's whole investment in a structure is below 0.25% of its Tier 1 capital.
30.43 A bank must look through the structure to identify those underlying assets for which the underlying exposure value is equal to or above 0.25% of its Tier 1 capital. In this case, the counterparty corresponding to each of the underlying assets must be identified so that these underlying exposures can be added to any other direct or indirect exposure to the same counterparty. The bank's exposure amount to the underlying assets that are below 0.25% of the bank's Tier 1 capital may be assigned to the structure itself (ie partial lookthrough is permitted).
30.44 If a bank is unable to identify the underlying assets of a structure:
(1) where the total amount of its exposure does not exceed 0.25% of its Tier 1 capital, the bank must assign the total exposure amount of its investment to the structure;
(2) otherwise, it must assign this total exposure amount to the unknown client.
30.45 The bank must aggregate all unknown exposures as if they related to a single counterparty (the unknown client), to which the large exposure limit would apply.
30.46 When the look-through approach (LTA) is not required according to LEX30.42, a bank must nevertheless be able to demonstrate that regulatory arbitrage considerations have not influenced the decision whether to look through or not - eg that the bank has not circumvented the large exposure limit by investing in several individually immaterial transactions with identical underlying assets.
30.47 If the LTA need not be applied, a bank's exposure to the structure must be the nominal amount it invests in the structure.
30.48 When the LTA is required according to the paragraphs above, the exposure value assigned to a counterparty is equal to the pro rata shar</t>
  </si>
  <si>
    <t xml:space="preserve">bcbs-lex-consolidated::LEX30::0008</t>
  </si>
  <si>
    <t xml:space="preserve">LEX30.15, LEX30.16, LEX30.17, LEX30.18, LEX30.19, LEX30.20, LEX30.21</t>
  </si>
  <si>
    <t xml:space="preserve">Calculation of exposure value for trading book positions
30.15 A bank must add any exposures to a single counterparty arising in the trading book to any other exposures to that counterparty that lie in the banking book to calculate its total exposure to that counterparty.
30.16 The exposures considered in this section correspond to concentration risk associated with the default of a single counterparty for exposures included in the trading book. Therefore, positions in financial instruments such as bonds and equities must be constrained by the large exposure limit, but concentrations in a particular commodity or currency need not be.
30.17 The exposure value for trading book positions to any single counterparty must be calculated as the gross jump-to-default amount defined in MAR22.9 to MAR22.14 without application of risk weighting 9 with the exception that all instruments must be assigned a loss-given-default of 100%. Footnotes
9 Sovereign exposures held in the trading book are excluded from the large exposures framework as set out in LEX10.7 and LEX30.31 to LEX30.34.
30.18 The maturity adjustments set out in MAR22.15 to MAR22.18 are not applicable in the context of the large exposure standards.
30.19 The exposure value for trading book positions to a group of connected counterparties is the sum of positive (ie net long) gross jump-to-defaults for each counterparty within that group.
30.20 Exposure values of banks' investments in transactions (ie index positions, securitisations, hedge funds or investment funds) must be calculated applying the same rules as for similar instruments in the banking book (see LEX30.41 to LEX30.53). Hence, the amount invested in a particular structure may be assigned to the structure itself, defined as a distinct counterparty, to the counterparties corresponding to the underlying assets, or to the unknown client, following the rules described in LEX30.41 to LEX30.46).
30.21 Covered bonds held in the trading book are subject to the treatment described in LEX30.37 to LEX30.40.</t>
  </si>
  <si>
    <t xml:space="preserve">S5</t>
  </si>
  <si>
    <t xml:space="preserve">bcbs-lex-consolidated::LEX10::0002</t>
  </si>
  <si>
    <t xml:space="preserve">LEX10.1, LEX10.2, LEX10.3</t>
  </si>
  <si>
    <t xml:space="preserve">Rationale and objectives of a large exposures framework
10.1 Throughout history there have been instances of banks failing due to concentrated exposures to individual counterparties or groups of connected counterparties. Large exposures regulation has been developed as a tool for limiting the maximum loss a bank could face in the event of a sudden counterparty failure to a level that does not endanger the bank's solvency.
10.2 A large exposures framework complements the Committee's risk-based capital standard because the latter is not designed specifically to protect banks from large losses resulting from the sudden default of a single counterparty or a group of connected counterparties. In particular, the minimum capital requirements (Pillar 1) of the Basel risk-based capital framework implicitly assume that a bank holds infinitely granular portfolios, ie no form of concentration risk is considered in calculating capital requirements. Contrary to this assumption, idiosyncratic risk due to large exposures to individual counterparties or groups of connected counterparties may be present in banks' portfolios. Although a supervisory review process (Pillar 2) concentration risk adjustment could be made to mitigate this risk, 1 these adjustments are neither harmonised across jurisdictions, nor designed to protect a bank against very large losses from the default of a single counterparty or a group of connected counterparties. For this reason, the risk-based capital framework is not sufficient to fully mitigate the microprudential risk from exposures that are large compared to a bank's capital resources. That framework needs to be supplemented with a simple large exposures framework that protects banks from traumatic losses caused by the sudden default of an individual counterparty or group of connected counterparties. To serve as a backstop to risk-based capital requirements, the large exposures framework should be designed so that the maximum possible loss a bank could incur if a single counterparty or group of connected counterparties were to suddenly fail would not endanger the bank's survival as a going concern. Footnotes
1 The market risk standard MAR also explicitly requires that trading book models for specific risk capture concentration risk.
10.3 The treatment of large exposures could also contribute to the stability of the financial system in a number of other ways. For example, material losses in one systemically important financial institution (SIFI) can trigger concerns about the solvency of other SIFIs, with potentially catastrophic consequences for global financial stability. There are at least two important channels for this contagion. First, investors may be concerned that other SIFIs might have exposures similar to those of the failing institution. Second, and more directly, investors may be concerned that other SIFIs have direct large exposures to the failing SIFI, in the form of either loans or credit guarantees. The Committee </t>
  </si>
  <si>
    <t xml:space="preserve">bcbs-239-2013::doc::0015</t>
  </si>
  <si>
    <t xml:space="preserve">Principle 3</t>
  </si>
  <si>
    <t xml:space="preserve">Principle 3
Accuracy and Integrity - A bank should be able to generate accurate and reliable risk data to meet normal and stress/crisis reporting accuracy requirements. Data should be aggregated on a largely automated basis so as to minimise the probability of errors.
36. A bank should aggregate risk data in a way that is accurate and reliable.
(a) Controls surrounding risk data should be as robust as those applicable to accounting data.
(b) Where a bank relies on manual processes and desktop applications (eg spreadsheets, databases) and has specific risk units that use these applications for software development, it should have effective mitigants in place (eg end-user computing policies and procedures) and other effective controls that are consistently applied across the bank's processes.
(c) Risk data should be reconciled with bank's sources, including accounting data where appropriate, to ensure that the risk data is accurate. 17
(d) A bank should strive towards a single authoritative source for risk data per each type of risk.
(e) A bank's risk personnel should have sufficient access to risk data to ensure they can appropriately aggregate, validate and reconcile the data to risk reports.
37. As a precondition, a bank should have a 'dictionary' of the concepts used, such that data is defined consistently across an organisation.
38. There should be an appropriate balance between automated and manual systems. Where professional judgements are required, human intervention may be appropriate. For
17 For the purposes of this paper, reconciliation means the process of comparing items or outcomes and explaining the differences.
many other processes, a higher degree of automation is desirable to reduce the risk of errors.
39. Supervisors expect banks to document and explain all of their risk data aggregation processes whether automated or manual (judgement based or otherwise). Documentation should include an explanation of the appropriateness of any manual workarounds, a description of their criticality to the accuracy of risk data aggregation and proposed actions to reduce the impact.
40. Supervisors expect banks to measure and monitor the accuracy of data and to develop appropriate escalation channels and action plans to be in place to rectify poor data quality.</t>
  </si>
  <si>
    <t xml:space="preserve">sr-26-2-2026::doc::0015</t>
  </si>
  <si>
    <t xml:space="preserve">Model Inventory</t>
  </si>
  <si>
    <t xml:space="preserve">Model Inventory
It is common industry practice for banking organizations to maintain a comprehensive set of information for models under development or in use to support effective model risk management. While the inventory may contain varying levels of information to reflect different levels of model complexity and a banking organization's overall level of model usage, an effective model inventory includes sufficient information to understand model risks, so as to support effective model risk management at the individual and aggregate levels.</t>
  </si>
  <si>
    <t xml:space="preserve">pra-ss1-23-2023::doc::0004</t>
  </si>
  <si>
    <t xml:space="preserve">1.3, 1.2</t>
  </si>
  <si>
    <t xml:space="preserve">1. Introduction
1.1 This Prudential Regulation Authority (PRA) supervisory statement (SS) sets out the PRA's expectations for banks' 1 model risk management (MRM). The PRA considers model risk as a risk in its own right.
1.2 This SS is relevant to all regulated United Kingdom (UK)-incorporated banks, building societies and PRA-designated investment firms with internal model approval to calculate regulatory capital requirements. 2 The expectations in this SS do not apply to firms which do not have permission to use internal models to calculate regulatory capital and third-country firms operating in the UK through a branch. However, the PRA considers that those firms may find the proposed principles useful, and are welcome to consider them to manage model risk within their firm. Credit unions, insurers, and reinsurers are not in scope of the MRM expectations in this supervisory statement.
1.3 In the rest of this SS, 'firms' means UK banks, building societies and PRA-designated investment firms with internal model approval. The purpose of this SS is to support firms to strengthen their policies, procedures, and practices to identify, manage, and control the risks associated with the use of all models, developed in-house or externally, including vendor models, 3 and models used for financial reporting purposes. The principles are designed to complement, not supersede, existing supervisory expectations that have been published for selected model types. Firms should continue to apply the supervisory expectations relevant to them and their particular models, including attestations and self-assessments where applicable.
1.4 The SS is structured around five high-level principles designed to cover all elements of the model lifecycle. The principles set out what the PRA considers to be the core disciplines necessary for a robust MRM framework to manage model risk effectively across all model and risk types. The PRA's desired outcome is that firms take a strategic approach to MRM as a risk discipline in its own right.</t>
  </si>
  <si>
    <t xml:space="preserve">pra-ss1-23-2023::doc::0024</t>
  </si>
  <si>
    <t xml:space="preserve">Principle 1.1 Model definition</t>
  </si>
  <si>
    <t xml:space="preserve">Principle 1.1 Model definition
A formal definition of a model sets the scope of an MRM framework and promotes consistency across business units and legal entities.
a) Firms should adopt the following definition of a model as the basis for determining the scope of their MRM frameworks:
A model is a quantitative method, system, or approach that applies statistical, economic, financial, or mathematical theories, techniques, and assumptions to process input data into output. The definition of a model includes input data that are quantitative and / or qualitative in nature or expert judgement-based, and output that are quantitative or qualitative.
b) Notwithstanding the above definition, where material deterministic quantitative methods such as decision-based rules or algorithms that are not classified as a model have a material bearing on business decisions 5 and are complex in nature, firms should consider whether to apply the relevant aspects of the MRM framework to these methods.
c) In general, the PRA expects the implementation and use of deterministic quantitative methods not classified as models to be subject to sound and clearly documented management controls.</t>
  </si>
  <si>
    <t xml:space="preserve">pra-ss1-23-2023::doc::0030</t>
  </si>
  <si>
    <t xml:space="preserve">Principle 2.3 Policies and procedures</t>
  </si>
  <si>
    <t xml:space="preserve">Principle 2.3 Policies and procedures
Firms should have comprehensive policies and procedures that formalise the MRM framework and ensure effective and consistent application across the firm.
a) Firms should have clearly documented policies and procedures that formalise the MRM framework, and support its effective implementation. Firm-wide policies should be approved by the board and reviewed on a regular basis to ensure their continued relevance for: the firms' model risk appetite and profile; the economic and business environment and the regulatory landscape the firm operates in; and new and advancing technologies the firm is exposed to.
b) Policies should cross-reference and align with other relevant parts of their broader risk management policies, and align with the expectations set out in this supervisory statement. Compliance with internal policies and applicable regulatory requirements /
expectations should be assessed and reported to the board of directors on a regular basis.
c) Firms should establish policies and procedures across all aspects of the model lifecycle to ensure that models are suitable for their proposed usage at the outset and on an ongoing basis and to enable model risks to be identified and addressed on a timely basis. At a minimum, the policies and procedures should cover:
(i) the definitions of a model and model risk, and any external taxonomies used to support the model identification process;
(ii) the model tiering approach, including: the data sources used in the model tiering approach; how model tiers are used to determine the scope, intensity and frequency of model validation; the roles and responsibilities for assessing model materiality and complexity; the frequency with which model tiering is reperformed; and the process for the approval of model tiering;
(iii) standards for model development, including: model testing procedures; model selection criteria; documentation standards; model performance assessment criteria and thresholds; and supporting system controls;
(iv) data quality management procedures, including: the rules and standards for data quality, accuracy and relevance; and the specific risk controls and criteria applicable to reflect the higher level of uncertainty associated with use of alternative or unstructured data, or information sources;
(v) standards for model validation, including: clear roles and responsibilities; the validation procedures performed; how to determine prioritisation, scope, and frequency of re-validation; processes for effective challenge and monitoring of the effectiveness of the validation process; and reporting of validation results and any remedial actions;
(vi) standards for measuring and monitoring model performance, including: the criteria to be used to measure model performance; the thresholds for acceptable model performance; criteria to be used to determine whether model recalibration or redevelopment is required when model performance thresholds are bre</t>
  </si>
  <si>
    <t xml:space="preserve">pra-ss1-23-2023::doc::0025</t>
  </si>
  <si>
    <t xml:space="preserve">Principle 1.2 Model inventory</t>
  </si>
  <si>
    <t xml:space="preserve">Principle 1.2 Model inventory
A comprehensive model inventory should be maintained to enable firms to: identify the sources of model risk; provide the management information needed for reporting model risk; and help to identify model inter-dependencies.
a) Firms should maintain a complete and accurate set of information relevant to manage model risk for all of the models that are implemented for use, under development for implementation, or decommissioned. 6
b) While each line of business or legal entity may maintain its own inventory, firms should maintain a firm-wide model inventory which would help to identify all direct and indirect model inter-dependencies in order to get a better understanding of aggregate model risk.
c) The types of information the model inventory should capture include:
(i) the purpose and use of a model. For example, the relevant product or portfolio, the intended use of the model with a comparison to its actual use, and the model operating boundaries 7 under which model performance is expected to be acceptable;
5 Business decisions should be understood here as all decisions made in relation to the general business and operational banking activities, strategic decisions, financial, risk, capital and liquidity measurement, reporting, and any other decisions relevant to the safety and soundness of firms.
6 The rationale for decommissioning a model could help inform or improve future generations of model development or improvements or the decommissioned model may be used as a challenger model itself.
7 Operating boundaries is defined here as the sample data range (including empirical variance-covariance relationships in the multivariate case) used to estimate the parameters of a statistical model. While not a
(ii) model assumptions and limitations. For example, risks not captured in model and limitations in the data used to calibrate the model;
(iii) findings from validation. For example, indicators of whether models are functioning properly, the dates when those indicators were last updated, any outstanding remediation actions; and
(iv) governance details. For example, the names of individuals responsible for validation, the dates when validation was last performed, and the frequency of future validation.</t>
  </si>
  <si>
    <t xml:space="preserve">bcbs-d450-2018::doc::0008</t>
  </si>
  <si>
    <t xml:space="preserve">2. Stress testing frameworks should include an effective governance structure</t>
  </si>
  <si>
    <t xml:space="preserve">2. Stress testing frameworks should include an effective governance structure
Stress testing frameworks should include an effective governance structure that is clear, comprehensive and documented. This should specify the roles and responsibilities of senior management, oversight bodies and those responsible for the ongoing operation of the stress testing framework. This governance framework should identify all key stakeholders and ensure a full and consistent oversight and monitoring of the actions taken at the different stages of the stress testing process.
Roles and responsibilities should be specified for all aspects of the stress testing framework, including scenario development and approval, model development and validation, reporting and challenge of results and the use of stress test outputs. The roles of the second and third lines of defence should be specified (eg risk management and compliance, and internal audit, respectively). Policies and procedures should cover all aspects of the stress testing framework, be clearly documented, kept up-todate and be approved by the board and/or senior management.
The stress testing framework should also ensure collaboration of all necessary stakeholders and the appropriate communication to stakeholders of the stress testing assumptions, methodologies, scenarios and results. The engagement structure should facilitate credible challenge of the stress testing framework, both at senior and technical expert levels, including not only assumptions, methodologies, scenarios and results, but also the assessment of its ongoing performance and effectiveness, and the remediation of gaps identified by key stakeholders.</t>
  </si>
  <si>
    <t xml:space="preserve">bcbs-d450-2018::doc::0005</t>
  </si>
  <si>
    <t xml:space="preserve">1. Stress testing frameworks should have clearly articulated and formally adopted objectives</t>
  </si>
  <si>
    <t xml:space="preserve">1. Stress testing frameworks should have clearly articulated and formally adopted objectives
Stress testing frameworks should be designed to meet clear objectives that are documented and approved at the board level of the organisation, or an appropriately senior-level governance body. The objectives should be the basis for setting out the framework's requirements and expectations, and should be consistent with the bank's or supervisory authority's risk management framework and its overall governance structure.
Staff involved in the implementation of stress testing frameworks should also have a clear understanding of the framework's objectives, as this will help to guide any discretionary or judgmental elements.</t>
  </si>
  <si>
    <t xml:space="preserve">bcbs-d450-2018::doc::0010</t>
  </si>
  <si>
    <t xml:space="preserve">Additional points for authorities:</t>
  </si>
  <si>
    <t xml:space="preserve">Additional points for authorities:
Authorities should ensure that a comprehensive governance structure for all aspects of their stress testing framework is formulated by key stakeholders. The process should document a delineation of the roles for all relevant participants in the stress testing framework, inter-department (agency) coordination, and the nature and frequency of the communication of the results.
Stress testing often involves multiple units within the authority; the governance structure should guide alignment between macroprudential and microprudential functions (eg such alignment could be in terms of scenario development, data-sharing, data validation and the use of outputs from all stress testing exercises).</t>
  </si>
  <si>
    <t xml:space="preserve">bcbs-d450-2018::doc::0009</t>
  </si>
  <si>
    <t xml:space="preserve">Additional points for banks:</t>
  </si>
  <si>
    <t xml:space="preserve">Additional points for banks:
For banks' internal stress testing frameworks, all aspects of the governance arrangements should be specified by the bank, subject to compliance with international best practices including the Basel Committee's Corporate governance principles for banks . 5 The banks' boards of directors should have the ultimate responsibility for the overall stress testing framework, including the oversight of the framework. The development and implementation of the stress testing framework may be delegated to senior management or a stress testing committee. The board, or an appropriately senior-level governance body, is expected to have an understanding of the material aspects of the stress testing framework that enables it to actively engage in discussions with senior management or senior experts that are responsible for stress testing and challenge key modelling assumptions, the scenario selection and the assumptions underlying the stress tests.
For bank-run supervisory stress tests, banks should document the governance arrangements that specify their own specific roles in these exercises. For example, relevant responsibilities likely relate to data quality control, interactions with supervisory authorities on interpretative issues, and modelling choices where these are not specified by the authority.
The bank functions that should be engaged in a given stress testing exercise depend on a number of factors, including the objectives of the framework, or particular stress test, the type of stress test (firmwide vs more targeted), whether it is an internal stress test or a bank-run supervisory exercise, and the specific structure of the bank itself. Examples of bank functions that are likely to be relevant include economics, risk, finance, strategy and the front-line businesses.</t>
  </si>
  <si>
    <t xml:space="preserve">bcbs-d450-2018::doc::0017</t>
  </si>
  <si>
    <t xml:space="preserve">5. Resources and organisational structures should be adequate to meet the objectives of the stress testing framework</t>
  </si>
  <si>
    <t xml:space="preserve">5. Resources and organisational structures should be adequate to meet the objectives of the stress testing framework
Stress testing frameworks should have organisational structures that are adequate to meet their objectives. Governance processes should ensure the adequacy of resourcing for stress testing, including ensuring that the resources have the appropriate skill sets to execute the framework. Resourcing decisions should take account of the fact that stress tests have become more sophisticated over time, increasing the need for specialised staff, systems and IT infrastructure.
Processes to ensure resources have the appropriate skill sets could include building the skills of internal staff, ensuring knowledge transfer to internal staff, as well as hiring personnel with specialised stress testing skills. The set of skills typically required includes (but are not limited to) expertise in liquidity risk, credit risk, market risk, capital rules, financial accounting, modelling and project management.</t>
  </si>
  <si>
    <t xml:space="preserve">sr-26-2-2026::doc::0014</t>
  </si>
  <si>
    <t xml:space="preserve">Roles and Responsibilities</t>
  </si>
  <si>
    <t xml:space="preserve">Roles and Responsibilities
Model risk management benefits from clear roles and responsibilities with well-defined accountability, including with respect to potential conflicts of interest ( e.g. , misalignment of incentives between different reporting lines, such as model development and validation groups). Sound governance practices delineate the individual(s) responsible for key activities throughout the model lifecycle, from development through validation and ongoing monitoring. In cases where internal audit is part of the banking organization's model risk management practices, internal audit would generally not duplicate model risk management activities such as model development or validation. Instead, internal audit's role is generally to evaluate whether the model risk management practices are rigorous and effective and whether related policies are implemented accordingly. For banking organizations that use external resources to help manage model risk, sound practice involves maintaining proper oversight and integrating that work into broader model risk management activities. Organizations benefit from clearly defining roles and responsibilities when delegating these activities.</t>
  </si>
  <si>
    <t xml:space="preserve">pra-ss1-23-2023::doc::0020</t>
  </si>
  <si>
    <t xml:space="preserve">3.5</t>
  </si>
  <si>
    <t xml:space="preserve">SMF accountability for model risk management framework
3.5 The PRA considers that active senior management and board involvement in firms' MRM governance processes are key to robust and effective MRM practices. Strengthening the accountability of firms and individuals for managing model risk should improve the engagement and participation of senior management and boards which in turn will drive a successful implementation of MRM.
3.6 The PRA therefore expects firms to identify and allocate responsibility for the MRM framework to the relevant SMF(s) most appropriate within the firm's organisational structure and risk profile as part of Principle 2. Firms should ensure the responsibilities in the SMF(s)' Statement of Responsibilities are updated to reflect this.</t>
  </si>
  <si>
    <t xml:space="preserve">sr-26-2-2026::doc::0013</t>
  </si>
  <si>
    <t xml:space="preserve">VI. GOVERNANCE AND CONTROLS</t>
  </si>
  <si>
    <t xml:space="preserve">VI. GOVERNANCE AND CONTROLS
All components of the model lifecycle benefit from model governance that is supported by clear policies and effective controls. Effective policies define risk management expectations and establish a framework for assessing the magnitude of model risk and for applying model risk management practices commensurate with that risk. Procedures support policy implementation by establishing a monitoring and control process and specifying the allocation of resources to that process. The nature and sophistication of a banking organization's model governance is typically informed by the extent and sophistication of model usage as well as the size and complexity of the organization.</t>
  </si>
  <si>
    <t xml:space="preserve">1.2, 1.3</t>
  </si>
  <si>
    <t xml:space="preserve">Principle 1.2 Model inventory, Principle 1.2 Model inventory</t>
  </si>
  <si>
    <t xml:space="preserve">12 CFR Part 252</t>
  </si>
  <si>
    <t xml:space="preserve">cfr-12-252::doc::0603</t>
  </si>
  <si>
    <t xml:space="preserve">(a)</t>
  </si>
  <si>
    <t xml:space="preserve">(a) The management and staff of the internal model validation program are structurally independent from the model development teams. Validators do not report to model developers, and vice versa. This ensures that model validation is conducted and overseen by objective parties. Validation staff's performance criteria include an ability to review all aspects of the models rigorously, thoroughly, and objectively, and to provide meaningful and clear feedback to model developers and users.</t>
  </si>
  <si>
    <t xml:space="preserve">pra-ss1-23-2023::doc::0019</t>
  </si>
  <si>
    <t xml:space="preserve">3.4</t>
  </si>
  <si>
    <t xml:space="preserve">Proportionality
3.3 The MRM principles represent core risk management practices for all models and all risk types. The practical application of the principles by all firms should be commensurate with their size, business activities, and the complexity and extent of their model use. For example, for firms with a smaller number of models or less complex models, maintaining a model inventory should be less burdensome, and the criteria for classifying models into tiers can be materially simpler than for firms with a wider range of models or more complex models.
3.4 The framework should also be applied proportionately within each firm. The rigour, intensity, prioritisation, and frequency of model validation, application of risk controls, independent review, performance monitoring and re-validation are expected to be commensurate with the associated model tier assigned to a model.</t>
  </si>
  <si>
    <t xml:space="preserve">cfr-12-252::doc::0600</t>
  </si>
  <si>
    <t xml:space="preserve">(a) Independent and comprehensive model validation is key to the credibility of supervisory stress tests. An independent unit of validation staff within the Federal Reserve, with input from an advisory council of academic experts not affiliated with the Federal Reserve, ensures that stress test models are subject to effective challenge, defined as critical analysis by objective, informed parties that can identify model limitations and recommend appropriate changes.</t>
  </si>
  <si>
    <t xml:space="preserve">pra-ss1-23-2023::doc::0042</t>
  </si>
  <si>
    <t xml:space="preserve">Principle 4 -Independent model validation</t>
  </si>
  <si>
    <t xml:space="preserve">Principle 4 -Independent model validation
Firms should have a validation process that provides ongoing, independent, and effective challenge to model development and use. The individual/body within a firm responsible for the approval of a model should ensure that validation recommendations for remediation or redevelopment are actioned so that models are suitable for their intended purpose.</t>
  </si>
  <si>
    <t xml:space="preserve">pra-ss1-23-2023::doc::0017</t>
  </si>
  <si>
    <t xml:space="preserve">Principle 4 -Independent model validation
Firms should have a validation process that provides ongoing, independent, and effective challenge to model development and use. The individual or body within a firm responsible for the approval of a model should ensure that validation recommendations for remediation or redevelopment are actioned so that models are suitable for their intended purpose.</t>
  </si>
  <si>
    <t xml:space="preserve">S6</t>
  </si>
  <si>
    <t xml:space="preserve">pra-ss1-23-2023::doc::0043</t>
  </si>
  <si>
    <t xml:space="preserve">Principle 4.1 The independent validation function</t>
  </si>
  <si>
    <t xml:space="preserve">Principle 4.1 The independent validation function
a) Firms should have a validation function to provide an objective, unbiased, and critical opinion on: the suitability and soundness of models for their intended use; the design and integration of the system supporting the model; the accuracy, relevance and
completeness of the development data; and the output and reports used to inform decisions.
b) The validation function should be responsible for the (i) independent review and (ii) the periodic re-validation of models, and should provide their recommendations on model approvals to the appropriate model approval authority.
c) While model owners are responsible for model performance, model users, owners, and validators share the responsibility for (i) ongoing model performance monitoring and (ii) process verification.
d) The validation function should operate independently from the model development process and from model owners. Firms that have approval to use internal models for the purposes of calculating their capital requirements are expected to demonstrate independence through separate reporting lines for model validators and model developers and owners, applicable across the MRM framework.
e) The validation function should have sufficient organisational standing to provide effective challenge and have appropriate access to the board and/or board committees to escalate concerns around model usage and MRM in a prompt and timely manner.</t>
  </si>
  <si>
    <t xml:space="preserve">SR 15-18</t>
  </si>
  <si>
    <t xml:space="preserve">sr-15-18-2015r2021::doc::0003</t>
  </si>
  <si>
    <t xml:space="preserve">Applicability</t>
  </si>
  <si>
    <t xml:space="preserve">Applicability
This guidance applies to U.S. bank holding companies subject to Category I standards under the Board's tailoring framework. 8,9
The Federal Reserve has different expectations for sound capital planning and capital adequacy depending on the size, scope of operations, activities, and systemic importance of a firm. The Federal Reserve has separate guidance, set forth in SR letter 15-19, that clarifies that expectations for firms subject to Category I standards are higher than the expectations for firms subject to Category II or III standards.
Federal Reserve Banks should distribute this letter to firms subject to Category I standards in their districts as well as to appropriate supervisory staff. Questions regarding this guidance may be directed to the following Board staff: Lisa Ryu, Associate Director, at (202) 263-4833, or David Palmer, Senior Supervisory Financial Analyst, at (202) 452-2904. In addition, questions may be sent to the secure CCAR Communications mailbox or via the Board's public website. 10</t>
  </si>
  <si>
    <t xml:space="preserve">SR 15-19</t>
  </si>
  <si>
    <t xml:space="preserve">sr-15-19-2015r2021::doc::0001</t>
  </si>
  <si>
    <t xml:space="preserve">I. Introduction</t>
  </si>
  <si>
    <t xml:space="preserve">I. Introduction
This guidance provides the Federal Reserve's core capital planning expectations for firms subject to Category II or III standards under the Board's tailoring framework, 2 building upon the capital planning requirements included in the Board's capital plan rule and stress test rules. This guidance outlines capital planning expectations 3 for these firms in the following areas:
· Governance
· Risk management
· Internal controls
· Capital policy
· Incorporating stressful conditions and events
· Estimating impact on capital positions
Further, this guidance provides detailed supervisory expectations on a firm's capital planning process in the following appendices:
- This guidance previously applied to U.S. bank holding companies and intermediate holding companies of foreign banking organizations that have total consolidated assets of at least $50 billion but less than $250 billion, have consolidated total on-balance sheet foreign exposure of less than $10 billion, and are not otherwise subject to the Federal Reserve's Large Institution Supervision Coordinating Committee (LISCC) framework. End of Footnote 1 .]
-See 84 Fed. Reg. 59032 (November 1, 2019). Firms subject to Category I standards are U.S. holding companies identified as global systemically important bank holding companies (U.S. GSIBs).
Firms subject to Category II standards include banking organizations with $700 billion or more in total consolidated assets; or $75 billion or more in cross-jurisdictional activity; and do not meet the criteria for Category I.
Firms subject to Category III standards include banking organizations with $250 billion or more in total consolidated assets; or banking organizations with $100 billion or more in total consolidated assets and $75 billion or more in weighted short-term wholesale funding, total nonbank assets, or off-balance sheet exposure; and do not meet the criteria for Category I or II. End of Footnote 2 .]
- Note that these expectations build upon the capital planning requirements set forth in the Board's capital plan rules and stress test rules (12 CFR 225.8; 12 CFR 238, subparts O, P, and S; 12 CFR 252, subparts E and F). Other relevant rules pertaining to the Board's regulatory regime for capital planning and positions are described in Section II, 'Regulatory Requirements for Capital Positions and Planning.' End of Footnote 3 .]
A. Use of Models and Other Estimation Approaches
B. Model Overlays
C. Use of Benchmark Models in the Capital Planning Process
D. Sensitivity Analysis and Assumptions Management
E. Role of the Internal Audit Function in the Capital Planning Process
F. Capital Policy
G. Scenario Design
H. Risk-weighted Asset (RWA) Projections
I. Operational Loss Projections
This guidance applies to U.S. bank holding companies, U.S. intermediate holding companies of foreign banking organizations, and covered savings and loan holding companies that are subject to Category II or III standards under the Boa</t>
  </si>
  <si>
    <t xml:space="preserve">sr-15-18-2015r2021::doc::0010</t>
  </si>
  <si>
    <t xml:space="preserve">I. Introduction
This guidance provides the Federal Reserve's core capital planning expectations for firms subject to Category I standards under the Board's tailoring framework, 2 building upon the capital planning requirements included in the Board's capital plan rule and stress test rules. This guidance outlines capital planning expectations 3 for these firms in the following areas:
· Governance
· Risk management
· Internal controls
· Capital policy
· Incorporating stressful conditions and events
· Estimating impact on capital positions
Further, this guidance provides detailed supervisory expectations on a firm's capital planning process in the following appendices:
A. Use of Models and Other Estimation Approaches
B. Model Overlays
C. Use of Benchmark Models in the Capital Planning Process
D. Sensitivity Analysis and Assumptions Management
E. Role of the Internal Audit Function in the Capital Planning Process
F. Capital Policy
1 This guidance previously applied to U.S. bank holding companies and intermediate holding companies of foreign banking organizations that are either: (i) subject to the Federal Reserve's Large Institution Supervision Coordinating Committee (LISCC) framework (referred to as a 'LISCC Firm' in this letter) or (ii) total consolidated assets of $250 billion or more or consolidated total on-balance sheet foreign exposure of $10 billion or more.
2 See 84 Fed. Reg. 59032. Firms subject to Category I standards are U.S. bank holding companies identified as global systemically important bank holding companies (U.S. GSIBs).
3 Note that these expectations build upon the capital planning requirements set forth in the Board's capital plan rules and stress test rules (12 CFR 225.8; 12 CFR part 238, subpart s O, P, and S; 12 CFR part 252, subparts E and F). Other relevant rules pertaining to the Board's regulatory regime for capital planning and positions are described above in Section II, 'Regulatory Requirements for Capital Positions and Planning.'
G. Scenario Design
H. Risk-weighted Asset (RWA) Projections
I. Operational Loss Projections
This guidance applies to U.S. bank holding companies that are subject to Category I standards. 4
The Federal Reserve has different expectations for sound capital planning and capital adequacy depending on the size, scope of operations, activities, and systemic importance of a firm. The Federal Reserve has separate guidance, set forth in SR letter 15-19, that clarifies that expectations for firms subject to Category I standards are higher than the expectations for firms subject to Category II or III standards.</t>
  </si>
  <si>
    <t xml:space="preserve">sr-11-7-2011::doc::0010</t>
  </si>
  <si>
    <t xml:space="preserve">V. MODEL VALIDATION, V. MODEL VALIDATION</t>
  </si>
  <si>
    <t xml:space="preserve">V. MODEL VALIDATION
Model validation is the set of processes and activities intended to verify that models are performing as expected, in line with their design objectives and business uses. Effective validation helps ensure that models are sound. It also identifies potential limitations and assumptions, and assesses their possible impact. As with other aspects of effective challenge, model validation should be performed by staff with appropriate incentives, competence, and influence.
All model components, including input, processing, and reporting, should be subject to validation; this applies equally to models developed in-house and to those purchased from or developed by vendors or consultants. The rigor and sophistication of validation should be commensurate with the bank's overall use of models, the complexity and materiality of its models, and the size and complexity of the bank's operations.
Validation involves a degree of independence from model development and use. Generally, validation should be done by people who are not responsible for development or use and do not have a stake in whether a model is determined to be valid. Independence is not an end in itself but rather helps ensure that incentives are aligned with the goals of model validation. While independence may be supported by separation of reporting lines, it should be judged by actions and outcomes, since there may be additional ways to ensure objectivity and prevent bias. As a practical matter, some validation work may be most effectively done by model developers and users; it is essential, however, that such validation work be subject to critical review by an independent party, who should conduct additional activities to ensure proper validation. Overall, the quality of the process is judged by the manner in which models are subject to critical review. This could be determined by evaluating the extent and clarity of documentation, the issues identified by objective parties, and the actions taken by management to address model issues.
In addition to independence, banks can support appropriate incentives in validation through compensation practices and performance evaluation standards that are tied directly to the quality of model validations and the degree of critical, unbiased review. In addition, corporate culture plays a role if it establishes support for objective thinking and encourages questioning and challenging of decisions.
Staff doing validation should have the requisite knowledge, skills, and expertise. A high level of technical expertise may be needed because of the complexity of many models, both in structure and in application. These staff also should have a significant degree of familiarity with the line of business using the model and the model's intended use. A model's developer is an important source of information but cannot be relied on as an objective or sole source on which to base an assessment of model quality.
Staff conducting validation work s</t>
  </si>
  <si>
    <t xml:space="preserve">pra-ss1-23-2023::doc::0045</t>
  </si>
  <si>
    <t xml:space="preserve">Principle 4.3 Process verification</t>
  </si>
  <si>
    <t xml:space="preserve">Principle 4.3 Process verification
a) Firms should conduct appropriate verification of model processes and systems implementation to confirm that all model components are operating effectively and are implemented as intended. This should include verification that:
(i) model inputs - internal or external data used as model inputs are representative of the underlying portfolios, products, assets or customer base the model is intended to be used for, and compliant with internal data quality control and reliability standards;
(ii) calculations - systems implementation (code), integration (processing), and user developed applications are accurate, controlled and auditable; and
(iii) reporting outputs - reports derived from model outputs are accurate, complete, informative, and appropriately designed for their intended use.</t>
  </si>
  <si>
    <t xml:space="preserve">pra-ss1-23-2023::doc::0010</t>
  </si>
  <si>
    <t xml:space="preserve">2.11</t>
  </si>
  <si>
    <t xml:space="preserve">Model risk management and the model lifecycle
2.9 Model risk can be reduced or mitigated, but not entirely eliminated, through an effective MRM framework. Effective MRM starts with a comprehensive governance and oversight framework supported by effective model lifecycle management.
2.10 The model lifecycle can be thought of as being made up of three main processes:
i. the core modelling process - model development, implementation, and use;
ii. model validation - the set of activities intended to verify that models perform as expected, through:
a) a review of the suitability and conceptual soundness of the model (independent review);
b) verification of the integrity of implementation (process verification);
c) ongoing testing to confirm that the model continues to perform as intended (model performance monitoring); and
iii. model risk controls - the processes and procedures other than model validation activities to help manage, control or mitigate model risk.
2.11 The sequence of modelling-validation-control activities describes the various stages in a model's lifecycle.</t>
  </si>
  <si>
    <t xml:space="preserve">bcbs-lex-consolidated::LEX40::0002</t>
  </si>
  <si>
    <t xml:space="preserve">LEX40.1, LEX40.2, LEX40.3</t>
  </si>
  <si>
    <t xml:space="preserve">Version effective as of 15 Dec 2019
First version in the format of the consolidated framework.
40.1 The large exposure limit applied to a global systemically important bank's (G-SIB's) exposure to another G-SIB is set at 15% of Tier 1 capital. The limit applies to G-SIBs as identified by the Basel Committee (see SCO40) and published annually by the Financial Stability Board (FSB). When a bank becomes a G-SIB, it and other G-SIBs must apply the 15% limit within 12 months of this event, which is the same time frame within which a bank that has become a G-SIB would need to satisfy its higher loss absorbency requirement (see RBC40.6).
40.2 Member countries are at liberty to set more stringent standards, as with any other standards approved by the Committee. In particular, the concern about contagion that has led the Committee to propose a relatively tighter limit on exposures between G-SIBs applies, in principle, at the jurisdictional level to domestic systemically important banks (DSIBs). The Committee therefore encourages jurisdictions to consider applying stricter limits to exposures between D-SIBs and to exposures of smaller banks to G-SIBs. The same logic would also be valid for the application of tighter limits to exposures to non-bank global systemically important financial institutions, and such a limit might be considered by the Committee in the future.
40.3 The assessment of the systemic importance of G-SIBs is made using data that relate to the consolidated group (see SCO40.5) and, consistent with this, the additional loss absorbency requirement will apply to the consolidated group. But, consistent with the additional loss absorbency requirement for G-SIBs, the application of the relatively tighter limit on exposures between G-SIBs at the consolidated level does not rule out the option for host jurisdictions of subsidiaries of a group that is identified as a G-SIB to also apply the limit at the individual legal entity or consolidated level within their jurisdiction, ie to impose the 15% limit on the subsidiaries' exposures to other G-SIBs (defined at the individual legal entity or consolidated level within their jurisdiction).</t>
  </si>
  <si>
    <t xml:space="preserve">FAQ1</t>
  </si>
  <si>
    <t xml:space="preserve">bcbs-lex-consolidated::LEX10::0003</t>
  </si>
  <si>
    <t xml:space="preserve">LEX10.4, LEX10.5, LEX10.6</t>
  </si>
  <si>
    <t xml:space="preserve">Scope and level of application
10.4 The large exposures framework is constructed to serve as a backstop and complement to the risk-based capital standards. As a consequence, it must apply at the same level as the risk-based capital requirements are required to be applied following SCO10, ie at every tier
within a banking group.
10.5 The large exposures framework is applicable to all internationally active banks. As with all other standards issued by the Committee, member jurisdictions have the option to set more stringent standards. They also have the option to extend the application to a wider range of banks, with the possibility - if they deem it necessary - to develop a different approach for banks that usually fall outside the scope of the Basel framework. 2 Footnotes
2 For instance, the Committee notes that for these banks that fall outside the scope of application of the Basel framework, there may be a case for recognising physical collateral, which is not recognised in the large exposures framework set out in this document.
10.6 The application of the large exposures framework at the consolidated level implies that a bank must consider all exposures to third parties across the relevant regulatory consolidation group and compare the aggregate of those exposures with the group's Tier 1 capital.</t>
  </si>
  <si>
    <t xml:space="preserve">bcbs-rbc-consolidated::RBC20::0014</t>
  </si>
  <si>
    <t xml:space="preserve">RBC20.14</t>
  </si>
  <si>
    <t xml:space="preserve">Minimum standards and use of internal models
20.14 While the Basel framework permits the use of internally modelled approaches for certain risk categories, subject to supervisory approval, a jurisdiction which does not implement
some or all of the internally modelled approaches but instead only implements the basic or standardised approaches is compliant with the Basel framework.</t>
  </si>
  <si>
    <t xml:space="preserve">sr-15-18-2015r2021::doc::0023</t>
  </si>
  <si>
    <t xml:space="preserve">2. Model Validation and Independent Review of Estimation Approaches</t>
  </si>
  <si>
    <t xml:space="preserve">2. Model Validation and Independent Review of Estimation Approaches
Models used in the capital planning process should be reviewed for suitability for their intended uses. A firm should give particular consideration to the validity of models used for calculating post-stress capital positions. In particular, models designed for ongoing business activities may be inappropriate for estimating losses, revenue, and expenses under stressed conditions. If a firm identifies weaknesses or uncertainties in a model, the firm should make adjustments to model output if the findings would otherwise result in the material understatement of capital needs (see Appendix B, 'Model Overlays'). If the deficiencies are critical, the firm should restrict the use of the model, apply overlays, or avoid using the model entirely.
A firm should independently validate or otherwise conduct effective challenge of models used in internal capital planning, consistent with supervisory guidance on model risk management. 12 The model review and validation process should include an evaluation of conceptual soundness of models and ongoing monitoring of the model performance. The firm's validation staff should have the necessary technical competencies, sufficient stature within the organization, and appropriate independence from model developers and business areas to provide a critical and unbiased evaluation of the estimation approaches.
A firm should maintain an inventory of all estimation approaches used in the capital planning process, including models used to produce projections or estimates used by the models that generate final loss, revenue, expense, and capital projections. 13 Material models should receive greater attention (see Appendix C, 'Use of Benchmark Models in the Capital Planning Process'). 14 The intensity and frequency of validation work should be a function of the importance of those models in generating estimates of post-stress capital.
Not all models can be fully validated prior to use in capital planning. However, a firm should conduct a conceptual soundness review of all models prior to their use in capital planning. If such a conceptual soundness review is not possible, the absence of that review should be made transparent to users of model output and the firm should determine whether the use of compensating controls (such as conservative adjustments) are warranted.
12 See SR letter 11-7, 'Supervisory Guidance on Model Risk Management.' The term 'effective challenge' means critical review by objective, informed parties who have the proper incentives, competence, and influence to challenge the model and its results.
13 The definition of a model covers quantitative approaches whose inputs are partially or wholly qualitative or based on expert judgment, provided that the output is quantitative in nature.
14 Materiality of the model is a function of both the importance of the business or portfolio assessed and the impact of the model on the firm's overall</t>
  </si>
  <si>
    <t xml:space="preserve">sr-11-7-2011::doc::0005</t>
  </si>
  <si>
    <t xml:space="preserve">II. PURPOSE AND SCOPE, II. PURPOSE AND SCOPE</t>
  </si>
  <si>
    <t xml:space="preserve">II. PURPOSE AND SCOPE
The purpose of this document is to provide comprehensive guidance for banks on effective model risk management. Rigorous model validation plays a critical role in model risk management; however, sound development, implementation, and use of models are also vital elements. Furthermore, model risk management encompasses governance and control mechanisms such as board and senior management oversight, policies and procedures, controls and compliance, and an appropriate incentive and organizational structure.
Previous guidance and other publications issued by the OCC and the Federal Reserve on the use of models pay particular attention to model validation. [Fotnote 2 Based on supervisory and industry experience over the past several years, this document expands on existing guidance-most importantly by broadening the scope to include all aspects of model risk management. Many banks may already have in place a large portion of these practices, but all banks should ensure that internal policies and procedures are consistent with the risk management principles and supervisory expectations contained in this guidance. Details may vary from bank to bank, as practical application of this guidance should be customized to be commensurate with a bank's risk exposures, its business activities, and the complexity and extent of its model use. For example, steps taken to apply this guidance at a community bank using relatively few models of only moderate complexity might be significantly less involved than those at a larger bank where use of models is more extensive or complex. [Page Break]
- For instance, the OCC provided guidance on model risk, focusing on model validation, in OCC 2000-16 (May 30, 2000), other bulletins, and certain subject matter booklets of the Comptroller's Handbook. The Federal Reserve issued SR Letter 09-01, "Application of the Market Risk Rule in Bank Holding Companies and State Member Banks," which highlights various concepts pertinent to model risk management, including standards for validation and review, model validation documentation, and back-testing. The Federal Reserve's Trading and Capital-Markets Activities Manual also discusses validation and model risk management. In addition, the advanced-approaches risk-based capital rules (12 CFR 3, Appendix C; 12 CFR 208, Appendix F; and 12 CFR 225, Appendix G) contain explicit validation requirements for subject banking organizations. End of Footnote 2.]
Page 2</t>
  </si>
  <si>
    <t xml:space="preserve">sr-15-19-2015r2021::doc::0013</t>
  </si>
  <si>
    <t xml:space="preserve">2. Model Validation and Independent Review of Estimation Approaches, 2. Model Validation and Independent Review of Estimation Approaches</t>
  </si>
  <si>
    <t xml:space="preserve">2. Model Validation and Independent Review of Estimation Approaches
Models used in the capital planning process should be reviewed for suitability for their intended uses. A firm should give particular consideration to the validity of models used for calculating post-stress capital positions. In particular, models designed for ongoing business activities may be inappropriate for estimating losses, revenue, and expenses under stressed conditions. If a firm identifies weaknesses or uncertainties in a material model, the firm should make adjustments to model output if the findings would otherwise result in the material understatement of capital needs (see Appendix B, 'Model Overlays'). If the deficiencies are critical, the firm should restrict the use of the model, apply overlays, or avoid using the model entirely.
A firm should independently validate or otherwise conduct effective challenge of models used in internal capital planning, consistent with supervisory guidance on model risk management, with priority given to more material models. 14 The model review and validation process should include an evaluation of conceptual soundness of models and ongoing monitoring of the model performance. The firm's validation staff should have the necessary technical competencies, sufficient stature within the organization, and appropriate independence from model developers and business areas to provide a critical and unbiased evaluation of the estimation approaches.
A firm should maintain an inventory of all estimation approaches used in the capital planning process, including models used to produce projections or estimates used by the models that generate final loss, revenue, expense, and capital projections. 15 Material models should receive greater attention. 16 The intensity and frequency of validation work should be a function of the importance of those models in generating estimates of post-stress capital.
-See SR letter 11-7, 'Supervisory Guidance on Model Risk Management.' The term 'effective challenge' means critical review by objective, informed parties who have the proper incentives, competence, and influence to challenge the model and its results. End of Footnote 14 .]
- The definition of a model covers quantitative approaches whose inputs are partially or wholly qualitative or based on expert judgment, provided that the output is quantitative in nature. End of Footnote 15 .]
- Materiality of the model is a function of both the importance of the business or portfolio assessed and the impact of the model on the firm's overall results. End of Footnote 16 .]
Not all models can be fully validated prior to use in capital planning. However, a firm should make efforts to conduct a conceptual soundness review of its material models prior to their use in capital planning. If such a conceptual soundness review is not possible, the absence of that review should be made transparent to users of model output and the firm should determine whether the use </t>
  </si>
  <si>
    <t xml:space="preserve">sr-11-7-2011::doc::0004</t>
  </si>
  <si>
    <t xml:space="preserve">SUPERVISORY GUIDANCE ON MODEL RISK MANAGEMENT</t>
  </si>
  <si>
    <t xml:space="preserve">SUPERVISORY GUIDANCE ON MODEL RISK MANAGEMENT
1
2
3
5
9
16
21
This guidance describes the key aspects of effective model risk management. Section II explains the purpose and scope of the guidance, and Section III gives an overview of model risk management. Section IV discusses robust model development, implementation, and use. Section V describes the components of an effective validation framework. Section VI explains the salient features of sound governance, policies, and controls over model development, implementation, use, and validation. Section VII concludes.</t>
  </si>
  <si>
    <t xml:space="preserve">cfr-12-252::doc::0601</t>
  </si>
  <si>
    <t xml:space="preserve">(b)</t>
  </si>
  <si>
    <t xml:space="preserve">(b) The Federal Reserve's supervisory model validation program, built upon the principles of independence, technical competence, and stature, is able to subject models to effective challenge, expanding upon efforts made by supervisory modeling teams to manage model risk and confirming that supervisory models are appropriate for their intended uses. The supervisory model validation program produces reviews that are consistent, thorough, and comprehensive. Its structure ensures independence from the Federal Reserve's model development function, and its prominent role in communicating the state of model risk to the Board of Governors assures its stature within the Federal Reserve.</t>
  </si>
  <si>
    <t xml:space="preserve">sr-11-7-2011::doc::0013</t>
  </si>
  <si>
    <t xml:space="preserve">2. Ongoing Monitoring</t>
  </si>
  <si>
    <t xml:space="preserve">2. Ongoing Monitoring
The second core element of the validation process is ongoing monitoring. Such monitoring confirms that the model is appropriately implemented and is being used and is performing as intended.
Ongoing monitoring is essential to evaluate whether changes in products, exposures, activities, clients, or market conditions necessitate adjustment, redevelopment, or replacement of the model and to verify that any extension of the model beyond its original scope is valid. Any model limitations identified in the development stage should be regularly assessed over time, as part of ongoing monitoring. Monitoring begins when a model is first implemented in production systems for actual business use. This monitoring should continue periodically over time, with a frequency appropriate to the nature of the model, the availability of new data or modeling approaches, and the magnitude of the risk involved. Banks should design a program of ongoing testing and evaluation of model performance along with procedures for responding to any problems that appear. This program should include process verification and benchmarking.
Process verification checks that all model components are functioning as designed. It includes verifying that internal and external data inputs continue to be accurate, complete, consistent with model purpose and design, and of the highest quality available. Computer code implementing the model should be subject to rigorous quality and change control procedures to ensure that the code is correct, that it cannot be altered except by approved parties, and that all changes are logged and can be audited. System integration can be a challenge and deserves special attention because the model processing component often draws from various sources of data, processes large amounts of data, and then feeds into multiple data repositories and reporting systems. User-developed applications, such as spreadsheets or ad hoc database applications used to generate quantitative estimates, are particularly prone to model risk. As the content or composition of information changes over time, systems may need to be updated to reflect any changes in the data or its use. Reports derived from model outputs should be reviewed as part of validation to verify that they are accurate, complete, and informative, and that they contain appropriate indicators of model performance and limitations.
Many of the tests employed as part of model development should be included in ongoing monitoring and be conducted on a regular basis to incorporate additional information as it becomes available. New empirical evidence or theoretical research may suggest the need to modify or even replace original methods. Analysis of the integrity and applicability of [Page Break]
internal and external information sources, including information provided by third-party vendors, should be performed regularly.
Sensitivity analysis and other checks for robustness and stability should l</t>
  </si>
  <si>
    <t xml:space="preserve">S7</t>
  </si>
  <si>
    <t xml:space="preserve">cfr-12-252::doc::0611</t>
  </si>
  <si>
    <t xml:space="preserve">(b) The model validation program communicates its findings and recommendations regarding model risk to relevant parties within the Federal Reserve System. Validators provide detailed feedback to model developers and provide thematic feedback or observations on the overall system of models to the management of the modeling teams. Model validation feedback is also communicated to the users of supervisory model output for use in their deliberations and
decisions about supervisory stress testing. In addition, the Director of the Division of Supervision and Regulation approves all models used in the supervisory stress test in advance of each exercise, based on validators' recommendations, development responses, and suggestions for risk mitigants. In several cases, models have been modified or implemented differently based on validators' feedback. The Model Validation Council also contributes to the stature of the Federal Reserve's validation program, by providing an external point of view on modifications to supervisory models and on validation program governance.</t>
  </si>
  <si>
    <t xml:space="preserve">sr-26-2-2026::doc::0012</t>
  </si>
  <si>
    <t xml:space="preserve">Ongoing Model Monitoring, Ongoing Model Monitoring</t>
  </si>
  <si>
    <t xml:space="preserve">Ongoing Model Monitoring
Ongoing model monitoring involves an evaluation of the extent to which a model is performing as expected given potential changes in products, exposures, activities, clients, data relevance, or market conditions. A model that no longer performs as expected may warrant overlays, adjustment, or redevelopment of the model depending on a banking organization's model risk management policy as it pertains to model deterioration.
An effective ongoing monitoring plan may also include regularly assessing any model limitations at the development stage and over time, along with procedures for responding to any issues that may occur, before and after a model is approved for use. The frequency and scope of monitoring reports will depend on the nature of the model, the availability of new data or modeling approaches, and model materiality.</t>
  </si>
  <si>
    <t xml:space="preserve">2. Ongoing Monitoring, 2. Ongoing Monitoring, 2. Ongoing Monitoring, 2. Ongoing Monitoring</t>
  </si>
  <si>
    <t xml:space="preserve">II. PURPOSE AND SCOPE</t>
  </si>
  <si>
    <t xml:space="preserve">sr-26-2-2026::doc::0008</t>
  </si>
  <si>
    <t xml:space="preserve">V. MODEL VALIDATION AND MONITORING, V. MODEL VALIDATION AND MONITORING</t>
  </si>
  <si>
    <t xml:space="preserve">V. MODEL VALIDATION AND MONITORING
Model validation evaluates whether models perform as expected and includes an assessment of a model's reliability and its limitations. The nature and rigor of validation generally align with the model's approach, use, and materiality. Sound validation identifies model limitations and errors and clarifies appropriate use and whether corrective actions may be warranted.
Validation provides insight into the reliability of a given model, based on its underlying assumptions, methods, data, and relevant theories, as appropriate. This understanding helps characterize the source and extent of the model risk. Validation can reveal performance deterioration over time and inform judgments about acceptable performance ranges. When performance deviates meaningfully from expectations, banking organizations generally consider whether model adjustments, recalibration, or redevelopment are warranted.
The timing, nature, and frequency of validation activities vary based on model purpose, model methodology, frequency and scope of model changes, data limitations, and other practical constraints. Sound practice recognizes that validation approaches may differ across models based on their characteristics and use. Validation generally occurs prior to a model's first use. However, certain circumstances ( e.g. , an urgent business need) may necessitate using the model before validation is completed. In those cases, sound practice involves greater attention to the model's limitations when considering the appropriateness of its use, informing relevant stakeholders of those limitations, and determining appropriate controls ( e.g. , placing limits on model use or more closely monitoring its performance).
The quality of validation process depends on the rigor and effectiveness of the review rather than on organizational structure of the banking organization's risk management function. Technical knowledge and modeling expertise enable appropriate analysis, meaningful critique, and sound judgment about model performance and risk.
Even with sound modeling practices and rigorous validation, material model risk can remain. Users of model output benefit from understanding and communicating limitations, monitoring performance, periodically reviewing relevance, and supplementing model output with complementary analysis and information.</t>
  </si>
  <si>
    <t xml:space="preserve">pra-ss1-23-2023::doc::0026</t>
  </si>
  <si>
    <t xml:space="preserve">Principle 1.3 Model tiering</t>
  </si>
  <si>
    <t xml:space="preserve">Principle 1.3 Model tiering
Risk-based model tiering should be used to prioritise validation activities and other risk controls through the model lifecycle, and to identify and classify those models that pose most risk to a firm's business activities, and/or firm safety and soundness.
a) Firms should implement a consistent, firm-wide model tiering approach that assigns a risk-based materiality and complexity rating to each of their models.
b) Model materiality should consider both:
(i) quantitative size-based measures. For example, exposure, book or market value, or number of customers to which a model applies; and
(ii) qualitative factors relating to the purpose of the model and its relative importance to informing business decisions, and considering the potential impact upon the firm's solvency and financial performance.
c) The assessment of a model's complexity should consider the risk factors that impact a model's inherent risk 8 within each component of the modelling process, eg the nature and quality of the input data, the choice of methodology (including assumptions), the requirements and integrity of implementation, and the frequency and/or extensiveness of use of the model. Where necessary (in particular with the use of newly advanced approaches or technologies), the complexity assessment may also consider risk factors related to:
measure of model performance per se, extrapolating beyond a model's 'operating boundaries' (such as macroeconomic indices in shock or stressed economic conditions) should be assumed to involve increased model risk.
8 Inherent risk is the risk in the absence of any management or mitigating actions to alter either the risk's likelihood or impact.
(i) the use of alternative and unstructured data, 9 and
(ii) measures of a model's interpretability, 10 explainability, 11 transparency, and the potential for designer or data bias 12 to be present.
d) The firm-wide model tiering approach should be subject to periodic validation, or other objective and critical review by an informed party to ensure the continued relevance and accuracy of model tiering. Validation or review should include: an assessment of the relevance and availability of the information used to determine model tiers; and the accurate recording and maintenance of model tiering in the model inventory.
e) Individual model tier assignments (including materiality and complexity ratings) of models should be independently reassessed as part of the model validation and revalidation process, and should include a review of the accuracy and relevance of the information used to assign model tiers.</t>
  </si>
  <si>
    <t xml:space="preserve">bcbs-cre-consolidated::CRE53::0008</t>
  </si>
  <si>
    <t xml:space="preserve">Model validation</t>
  </si>
  <si>
    <t xml:space="preserve">Model validation
53.28 It is important that supervisory authorities are able to assure themselves that banks using models have counterparty credit risk management systems that are conceptually sound and implemented with integrity. Accordingly the supervisory authority will specify a number of qualitative criteria that banks would have to meet before they are permitted to use a models-based approach. The extent to which banks meet the qualitative criteria may influence the level at which supervisory authorities will set the multiplication factor referred to in CRE53.14 (Alpha) above. Only those banks in full compliance with the qualitative criteria will be eligible for application of the minimum multiplication factor. The qualitative criteria include:
(1) The bank must conduct a regular programme of backtesting, ie an ex-post comparison of the risk measures generated by the model against realised risk measures, as well as comparing hypothetical changes based on static positions with realised measures. 'Risk measures' in this context, refers not only to Effective EPE, the risk measure used to derive regulatory capital, but also to the other risk measures used in the calculation of Effective EPE such as the exposure distribution at a series of future dates, the positive exposure distribution at a series of future dates, the market risk factors used to derive those exposures and the values of the constituent trades of a portfolio.
(2) The bank must carry out an initial validation and an on-going periodic review of its IMM model and the risk measures generated by it. The validation and review must be independent of the model developers.
(3) The board of directors and senior management should be actively involved in the risk control process and must regard credit and counterparty credit risk control as an essential aspect of the business to which significant resources need to be devoted. In this regard, the daily reports prepared by the independent risk control unit must be reviewed by a level of management with sufficient seniority and authority to enforce both reductions of positions taken by individual traders and reductions in the bank's overall risk exposure.
(4) The bank's internal risk measurement exposure model must be closely integrated into the day-to-day risk management process of the bank. Its output should accordingly be an integral part of the process of planning, monitoring and controlling the bank's counterparty credit risk profile.
(5) The risk measurement system should be used in conjunction with internal trading and exposure limits. In this regard, exposure limits should be related to the bank's risk measurement model in a manner that is consistent over time and that is well understood by traders, the credit function and senior management.
(6) Banks should have a routine in place for ensuring compliance with a documented set of internal policies, controls and procedures concerning the operation of the risk measurement system. </t>
  </si>
  <si>
    <t xml:space="preserve">Model risk management and the model lifecycle</t>
  </si>
  <si>
    <t xml:space="preserve">bcbs-239-2013::doc::0014</t>
  </si>
  <si>
    <t xml:space="preserve">35</t>
  </si>
  <si>
    <t xml:space="preserve">II. Risk data aggregation capabilities
35. Banks should develop and maintain strong risk data aggregation capabilities to ensure that risk management reports reflect the risks in a reliable way (ie meeting data aggregation expectations is necessary to meet reporting expectations). Compliance with these Principles should not be at the expense of each other. These risk data aggregation capabilities should meet all Principles below simultaneously in accordance with paragraph 22 of this document.</t>
  </si>
  <si>
    <t xml:space="preserve">bcbs-239-2013::doc::0010</t>
  </si>
  <si>
    <t xml:space="preserve">21, Scope and initial considerations</t>
  </si>
  <si>
    <t xml:space="preserve">[...]
7 'Risk appetite is the level and type of risk a firm is able and willing to assume in its exposures and business activities, given its business objectives and obligations to stakeholders' as defined by the Senior Supervisors Group report, Observations on Developments in Risk Appetite Frameworks and IT Infrastructure ( December 2010).
nevertheless choose to apply the Principles to a wider range of banks, in a way that is proportionate to the size, nature and complexity of these banks' operations.
14. Banks identified as G-SIBs by the FSB in November 2011 8 or November 2012 9 must meet these Principles by January 2016; G-SIBs designated in subsequent annual updates will need to meet the Principles within three years of their designation. 10 G-SIBs subject to the 2016 timeline are expected to start making progress towards effectively implementing the Principles from early 2013. National supervisors and the Basel Committee will monitor and assess this progress in accordance with section V of this document.
15. It is strongly suggested that national supervisors also apply these Principles to banks identified as D-SIBs by their national supervisors three years after their designation as D-SIBs. 11
16. The Principles and supervisory expectations contained in this paper apply to a bank's risk management data. This includes data that is critical to enabling the bank to manage the risks it faces. Risk data and reports should provide management with the ability to monitor and track risks relative to the bank's risk tolerance/appetite.
17. These Principles also apply to all key internal risk management models, including but not limited to, Pillar 1 regulatory capital models (eg internal ratings-based approaches for credit risk and advanced measurement approaches for operational risk), Pillar 2 capital models and other key risk management models (eg value-at-risk).
18. The Principles apply to a bank's group risk management processes. However, banks may also benefit from applying the Principles to other processes, such as financial and operational processes, as well as supervisory reporting.
19. All the Principles included in this paper are also applicable to processes that have been outsourced to third parties.
20. The Principles cover four closely related topics:
· Overarching governance and infrastructure
· Risk data aggregation capabilities
· Risk reporting practices
· Supervisory review, tools and cooperation
21. Risk data aggregation capabilities and risk reporting practices are considered separately in this paper, but they are clearly inter-linked and cannot exist in isolation. High quality risk management reports rely on the existence of strong risk data aggregation
8 See the FSB, Policy Measures to Address to Systemically Important Financial Institutions (4 November 2011) at www.financialstabilityboard.org/publications/r_111104bb.pdf
9 See the FSB, Update of group of global systemically important banks - G-SIBs (1 November 2012)</t>
  </si>
  <si>
    <t xml:space="preserve">bcbs-239-2013::doc::0034</t>
  </si>
  <si>
    <t xml:space="preserve">Summary of the Principles</t>
  </si>
  <si>
    <t xml:space="preserve">Summary of the Principles
The Principles cover four closely related sections:
(i) Overarching governance and infrastructure
(ii) Risk data aggregation capabilities
(iii) Risk reporting practices
(iv) Supervisory review, tools and cooperation</t>
  </si>
  <si>
    <t xml:space="preserve">1.4</t>
  </si>
  <si>
    <t xml:space="preserve">pra-ss1-23-2023::doc::0018</t>
  </si>
  <si>
    <t xml:space="preserve">3.2</t>
  </si>
  <si>
    <t xml:space="preserve">Principle 5 -Model risk mitigants
Firms should have established policies and procedures for the use of model risk mitigants when models are under-performing, and should have procedures for the independent review of post-model adjustments .
3.2 The MRM principles are supported by a number of sub-principles and encompass all elements of the model lifecycle. The PRA expects firms to meet the high-level model risk management principles, as well as the individual sub-principles set out in the 'Model risk management principles for banks' section of this SS.</t>
  </si>
  <si>
    <t xml:space="preserve">pra-ss1-23-2023::doc::0051</t>
  </si>
  <si>
    <t xml:space="preserve">Principle 5.3 Exceptions and escalations</t>
  </si>
  <si>
    <t xml:space="preserve">Principle 5.3 Exceptions and escalations
a) For material models, firms should formulate the exceptions 23 they would allow for model use and model performance, and should implement formally approved policies
23 Exceptions are defined here as using a model when not approved for usage by the appropriate oversight entity or not validated for use; a model is used outside its intended purpose; a model that displays persistent
and procedures setting out the escalation procedures to be followed and to manage these exceptions.
(i) Exceptions for model use should be temporary, should be subject to post-model adjustments (PMAs), should be reported to and supported by stakeholders and senior management.
(ii) For model performance exceptions, firms should have clear guidelines for determining a maximum tolerance on model performance exceptions (deviation from expectation), should be subject to appropriate risk controls (eg the use of alternative models, heightened review and challenge, and more frequent monitoring post-model adjustments) and mitigants (eg recalibrating or redevelopment of existing methodology) once defined triggers and thresholds are breached.
b) Firms should have escalation processes in place so that the key stakeholders (model owners, users, validation staff, and senior management) are promptly made aware of a model exception.</t>
  </si>
  <si>
    <t xml:space="preserve">pra-ss1-23-2023::doc::0032</t>
  </si>
  <si>
    <t xml:space="preserve">Principle 2.5 Internal Audit</t>
  </si>
  <si>
    <t xml:space="preserve">Principle 2.5 Internal Audit
a) Internal Audit (IA) should periodically assess both the effectiveness of the MRM framework over each component of the model lifecycle, as well as the overall effectiveness of the MRM framework and compliance with internal policies. The
findings of IA's assessments should be documented and reported to the board and relevant committees on a timely basis.
b) The IA review should independently verify that:
(i) internal policies and procedures are comprehensive to enable model risks to be identified and adequately managed;
(ii) risk controls and validation activities are adequate for the level of model risks;
(iii) validation staff have the necessary experience, expertise, organisational standing, and incentives to provide an objective, unbiased, and critical opinion on the suitability and soundness of models for their intended use and to report model limitations and escalate material control exceptions and/or inappropriate model use in a prompt and timely manner; and
(iv) model owners and model risk control functions comply with internal policies and procedures for MRM, and those internal policies and procedures are in line with the expectations set out in this SS.</t>
  </si>
  <si>
    <t xml:space="preserve">pra-ss1-23-2023::doc::0033</t>
  </si>
  <si>
    <t xml:space="preserve">Principle 2.6 Use of externally developed models, third-party vendor products</t>
  </si>
  <si>
    <t xml:space="preserve">Principle 2.6 Use of externally developed models, third-party vendor products
a) In line with PRA SS2/21 - Outsourcing and third party risk management 13 boards and senior management are ultimately responsible for the management of model risk, even when they enter into an outsourcing or third-party arrangement .
b) Regarding third-party vendor models, firms should:
(i) satisfy themselves that the vendor models have been validated to the same standards as their own internal MRM expectations;
(ii) verify the relevance of vendor supplied data and their assumptions; and
(iii) validate their own use of vendor products and conduct ongoing monitoring and outcomes analysis of vendor model performance using their own outcomes.
c) Subsidiaries using models developed by their parent-group 14 may leverage the outcome of the parent-group's validation of the model if they can:
13 March 2021: https://www.bankofengland.co.uk/prudentialregulation/publication/2021/march/outsourcing-and-third-party-risk-management-ss
14 UK group and/or non-ring-fenced bodies for UK ring-fenced bodies.
.
(i) demonstrate that the parent-group has implemented an MRM framework and model development and validation standards in line with the expectations set out in this SS;
(ii) verify the relevance of the data and assumptions for the intended application of the model by the subsidiary; and
(iii) ensure the intensity and rigour of model validation is adequate for the model tier classification determined relative to the risk profile of the subsidiary on a standalone basis. 15</t>
  </si>
  <si>
    <t xml:space="preserve">bcbs-lex-consolidated::LEX10::0005</t>
  </si>
  <si>
    <t xml:space="preserve">LEX10.8</t>
  </si>
  <si>
    <t xml:space="preserve">Definition of a large exposure
10.8 The sum of all exposure values of a bank to a counterparty or to a group of connected counterparties, as defined in LEX10.9 to LEX10.18, must be defined as a large exposure if it is equal to or above 10% of the bank's Tier 1 capital (as defined in CAP10.2). The exposure values must be measured as specified in LEX30.</t>
  </si>
  <si>
    <t xml:space="preserve">bcbs-lex-consolidated::LEX30::0012</t>
  </si>
  <si>
    <t xml:space="preserve">LEX30.33, LEX30.34</t>
  </si>
  <si>
    <t xml:space="preserve">LEX10.9 to LEX10.15.
30.33 However, as specified in LEX20.4, a bank must report exposures subject to the sovereign exemption if these exposures meet the criteria for definition as a large exposure (see LEX10.8).
30.34 In addition, if a bank has an exposure to an exempted entity which is hedged by a credit derivative, the bank will have to recognise an exposure to the counterparty providing the credit protection as prescribed in LEX30.14 and LEX30.28, notwithstanding the fact that the original exposure is exempted.</t>
  </si>
  <si>
    <t xml:space="preserve">bcbs-lex-consolidated::LEX10::0006</t>
  </si>
  <si>
    <t xml:space="preserve">LEX10.9, LEX10.10, LEX10.11, LEX10.12, LEX10.13, LEX10.14, LEX10.15, LEX10.16, LEX10.17, LEX10.18</t>
  </si>
  <si>
    <t xml:space="preserve">Definition of connected counterparties
10.9 In some cases, a bank may have exposures to a group of counterparties with specific relationships or dependencies such that, were one of the counterparties to fail, all of the counterparties would very likely fail. A group of this sort, referred to in this framework as a group of connected counterparties, must be treated as a single counterparty. In this case, the sum of the bank's exposures to all the individual entities included within a group of connected counterparties is subject to the large exposure limit and to the regulatory reporting requirements as specified in LEX20.1 to LEX20.4.
10.10 Two or more natural or legal persons shall be deemed a group of connected counterparties if at least one of the following criteria is satisfied.
(1) Control relationship: one of the counterparties, directly or indirectly, has control over the other(s).
(2) Economic interdependence: if one of the counterparties were to experience financial problems, in particular funding or repayment difficulties, the other(s), as a result, would also be likely to encounter funding or repayment difficulties.
10.11 Banks must assess the relationship amongst counterparties with reference to LEX10.10(1) and LEX10.10(2) above in order to establish the existence of a group of connected
counterparties.
10.12 In assessing whether there is a control relationship between counterparties, banks must automatically consider that criterion LEX10.10(1) is satisfied if one entity owns more than 50% of the voting rights of the other entity.
10.13 In addition, banks must assess connectedness between counterparties based on control using the following criteria:
(1) Voting agreements (eg control of a majority of voting rights pursuant to an agreement with other shareholders);
(2) Significant influence on the appointment or dismissal of an entity's administrative, management or supervisory body, such as the right to appoint or remove a majority of members in those bodies, or the fact that a majority of members have been appointed solely as a result of the exercise of an individual entity's voting rights;
(3) Significant influence on senior management, eg an entity has the power, pursuant to a contract or otherwise, to exercise a controlling influence over the management or policies of another entity (eg through consent rights over key decisions).
10.14 Banks are also expected to refer to criteria specified in appropriate internationally recognised accounting standards for further qualitative guidance when determining control.
10.15 Where control has been established based on any of these criteria, a bank may still demonstrate to its supervisor in exceptional cases, eg due to the existence of specific circumstances and corporate governance safeguards, that such control does not necessarily result in the entities concerned constituting a group of connected counterparties.
10.16 In establishing connectedness based on economic interdepende</t>
  </si>
  <si>
    <t xml:space="preserve">bcbs-cap-consolidated::CAP10::0005</t>
  </si>
  <si>
    <t xml:space="preserve">CAP10.8</t>
  </si>
  <si>
    <t xml:space="preserve">Common shares issued by the bank
10.8 For an instrument to be included in Common Equity Tier 1 capital it must meet all of the criteria that follow. The vast majority of internationally active banks are structured as joint stock companies 1 and for these banks the criteria must be met solely with common shares. In the rare cases where banks need to issue non-voting common shares as part of Common Equity Tier 1, they must be identical to voting common shares of the issuing bank in all respects except the absence of voting rights. 2
(1) Represents the most subordinated claim in liquidation of the bank.
(2) Entitled to a claim on the residual assets that is proportional with its share of issued capital, after all senior claims have been repaid in liquidation (ie has an unlimited and variable claim, not a fixed or capped claim).
(3) Principal is perpetual and never repaid outside of liquidation (setting aside discretionary repurchases or other means of effectively reducing capital in a discretionary manner that is allowable under relevant law).
(4) The bank does nothing to create an expectation at issuance that the instrument will be bought back, redeemed or cancelled nor do the statutory or contractual terms provide any feature which might give rise to such an expectation.
(5) Distributions are paid out of distributable items (retained earnings included). The level of distributions is not in any way tied or linked to the amount paid in at issuance and is not subject to a contractual cap (except to the extent that a bank is unable to pay distributions that exceed the level of distributable items).
(6) There are no circumstances under which the distributions are obligatory. Non payment is therefore not an event of default. Among other things, this requirement prohibits features that require the bank to make payments in kind.
(7) Distributions are paid only after all legal and contractual obligations have been met and payments on more senior capital instruments have been made. This means that there are no preferential distributions, including in respect of other elements classified as the highest quality issued capital.
(8) It is the issued capital that takes the first and proportionately greatest share of any losses as they occur. 3 Within the highest quality capital, each instrument absorbs losses on a going concern basis proportionately and pari passu with all the others.
(9) The paid-in amount is recognised as equity capital (ie not recognised as a liability) for
determining balance sheet insolvency.
(10) The paid-in amount is classified as equity under the relevant accounting standards.
(11) It is directly issued and paid-in and the bank cannot directly or indirectly have funded the instrument or the purchase of the instrument.
(12) The paid-in amount is neither secured nor covered by a guarantee of the issuer or related entity 4 or subject to any other arrangement that legally or economically enhances the seniority of the claim.
(1</t>
  </si>
  <si>
    <t xml:space="preserve">bcbs-cap-consolidated::CAP10::0007</t>
  </si>
  <si>
    <t xml:space="preserve">CAP10.9, CAP10.10, CAP10.11</t>
  </si>
  <si>
    <t xml:space="preserve">Additional Tier 1 capital
10.9 Additional Tier 1 capital consists of the sum of the following elements:
(1) instruments issued by the bank that meet the criteria for inclusion in Additional Tier 1 capital (and are not included in Common Equity Tier 1);
(2) stock surplus (share premium) resulting from the issue of instruments included in Additional Tier 1 capital;
(3) instruments issued by consolidated subsidiaries of the bank and held by third parties that meet the criteria for inclusion in Additional Tier 1 capital and are not included in Common Equity Tier 1 capital. See CAP10.20 to CAP10.26 for the relevant criteria; and
(4) regulatory adjustments applied in the calculation of Additional Tier 1 Capital.
FAQ
FAQ1 Can subordinated loans be included in regulatory capital?
Yes. As long as the subordinated loans meet all the criteria required for Additional Tier 1 or Tier 2 capital, banks can include these items in their regulatory capital.
10.10 The treatment of instruments issued out of consolidated subsidiaries of the bank and the regulatory adjustments applied in the calculation of Additional Tier 1 capital are addressed in separate sections.
10.11 The following criteria must be met or exceeded for an instrument issued by the bank to be included in Additional Tier 1 capital.
(1) Issued and paid-in
(2) Subordinated to depositors, general creditors and subordinated debt of the bank. In the case of an issue by a holding company, the instrument must be subordinated to all general creditors.
(3) Is neither secured nor covered by a guarantee of the issuer or related entity or other arrangement that legally or economically enhances the seniority of the claim vis-à-vis bank creditors
(4) Is perpetual, ie there is no maturity date and there are no step-ups or other incentives to redeem
(5) May be callable at the initiative of the issuer only after a minimum of five years:
(a) To exercise a call option a bank must receive prior supervisory approval; and
(b) A bank must not do anything which creates an expectation that the call will be exercised; and
(c) Banks must not exercise a call unless:
(i) They replace the called instrument with capital of the same or better quality and the replacement of this capital is done at conditions which are sustainable for the income capacity of the bank; 6 or
(ii) The bank demonstrates that its capital position is well above the minimum capital requirements after the call option is exercised. 7
(d) The use of tax event and regulatory event calls are permitted within the first five years of a capital instrument, but supervisors will only permit the bank to exercise such a call if in their view the bank was not in a position to anticipate the event at issuance.
(6) Any repayment of principal (eg through repurchase or redemption) must be with prior supervisory approval and banks should not assume or create market expectations that supervisory approval will be given.
(7) Dividend/coupon discretion:
(a)</t>
  </si>
  <si>
    <t xml:space="preserve">bcbs-cap-consolidated::CAP10::0008</t>
  </si>
  <si>
    <t xml:space="preserve">Footnotes</t>
  </si>
  <si>
    <t xml:space="preserve">[...]
-A call option combined with an increase in the credit spread of the instrument if the call is not exercised.
-A call option combined with a requirement or an investor option to convert the instrument into shares if the call is not exercised.
-A call option combined with a change in the reference rate where the credit spread over the second reference rate is greater than the initial payment rate less the swap rate (ie the fixed rate paid to the call date to receive the second reference rate). For example, if the initial reference rate is 0.9%, the credit spread over the initial reference rate is 2% (ie the initial payment rate is 2.9%), and the swap rate to the call date is 1.2% a credit spread over the second reference rate greater than 1.7% (2.9-1.2%) would be considered an incentive to redeem.
Conversion from a fixed rate to a floating rate (or vice versa) in combination with a call option without any increase in credit spread will not in itself be viewed as an incentive to redeem. However, as required by CAP10.11(5), the bank must not do anything that creates an expectation that the call will be exercised.
Banks must not expect supervisors to approve the exercise of a call option for the purpose of satisfying investor expectations that a call will be exercised.
FAQ5 An Additional Tier 1 capital instrument must be perpetual, which is further clarified as there being no maturity date, step-ups or other incentives to redeem. In some jurisdictions, domestic law does not allow direct issuance of perpetual debt. If, however, a dated instrument's terms and conditions include an automatic rollover feature, would the instrument be eligible for recognition as Additional Tier 1 capital? What about instruments with mandatory conversion into common shares on a predefined date?
Dated instruments that include automatic rollover features are designed to appear as perpetual to the regulator and simultaneously to appear as having a maturity to the tax authorities and/or legal system. This creates a risk that the automatic rollover could be subject to legal challenge and repayment at the maturity date could be enforced. As such, instruments with maturity dates and automatic rollover features should not be treated as perpetual.
An instrument may be treated as perpetual if it will mandatorily convert to common shares at a pre-defined date and has no original maturity date prior to conversion. However, if the mandatory conversion feature is combined with a call option (ie the mandatory conversion date and the call are simultaneous or near-simultaneous), such that the bank can call the instrument to avoid conversion, the instrument will be treated as having an incentive to redeem and will not be permitted to be included in Additional Tier 1. Note that there may be other facts and circumstances besides having a call option that may constitute an incentive to redeem.
FAQ6 An instrument is structured with a first call date after 5 years but thereafter i</t>
  </si>
  <si>
    <t xml:space="preserve">bcbs-cap-consolidated::CAP90::0005</t>
  </si>
  <si>
    <t xml:space="preserve">CAP90.7, CAP90.8, CAP90.9, CAP90.10, CAP90.11, CAP90.12, CAP90.13, CAP90.14, CAP90.15, CAP90.16, CAP90.17</t>
  </si>
  <si>
    <t xml:space="preserve">Transitional arrangements for expected credit loss accounting
90.7 The Committee has determined that it may be appropriate for a jurisdiction to introduce a transitional arrangement for the impact on regulatory capital from the application of expected credit loss (ECL) accounting. Jurisdictions applying a transitional arrangement must implement such an arrangement as follows.
90.8 The transitional arrangement must apply only to provisions that are 'new' under an ECL accounting model. 'New' provisions are provisions which do not exist under accounting approaches applied prior to the adoption of an ECL accounting model.
90.9 The transitional arrangement must adjust Common Equity Tier 1 capital. Where there is a reduction in Common Equity Tier 1 capital due to new provisions, net of tax effect, upon adoption of an ECL accounting model, the decline in Common Equity Tier 1 capital (the 'transitional adjustment amount') must be partially included (ie added back) to Common Equity Tier 1 capital over a number of years (the 'transition period') commencing on the effective date of the transition to ECL accounting.
90.10 Jurisdictions must choose whether banks under their supervision determine the transitional adjustment amount throughout the transition period by either:
(1) calculating it just once, at the effective date of the transition to ECL accounting (ie static approach); or
(2) recalculating it periodically to reflect the evolution of a bank's ECL provisions within the transition period (ie dynamic approach).
90.11 The transitional adjustment amount may be calculated based on the impact on Common Equity Tier 1 capital upon adoption of an ECL accounting model or from accounting provisions disclosed before and after the adoption of an ECL accounting model.
90.12 For internal ratings-based (IRB) portfolios, the calculation of transitional adjustment amounts must take account of the shortfall of the stock of provisions to expected losses, as set out in CAP30.13. In some circumstances, an increase in provisions will not be fully reflected in IRB Common Equity Tier 1 capital.
90.13 The transition period commences from the date upon which a bank adopts ECL accounting in a jurisdiction that requires or permits the implementation of an ECL accounting framework. The transition period must be no more than five years.
90.14 During the transition period, the transitional adjustment amount will be partially included in (ie added back to) Common Equity Tier 1 capital. A fraction of the transitional adjustment amount (based on the number of years in the transition period) will be included in Common Equity Tier 1 capital during the first year of the transition period, with the proportion included in Common Equity Tier 1 capital phased out each year thereafter during the course of the transition period on a straight line basis. The impact of ECL provisions on Common Equity Tier 1 capital must not be fully neutralised during the transition period.
90.15 The</t>
  </si>
  <si>
    <t xml:space="preserve">bcbs-cap-consolidated::CAP90::0003</t>
  </si>
  <si>
    <t xml:space="preserve">CAP90.4</t>
  </si>
  <si>
    <t xml:space="preserve">[...]
(2) For an instrument that has a call and a step-up on or after 1 January 2013 (or another incentive to be redeemed), if the instrument is not called at its effective maturity date and on a forward-looking basis meets the new criteria for inclusion in Tier 1 or Tier 2, it continues to be recognised in that tier of capital. After the call date, the full amount of a Tier 1 instrument, or the applicable amortised amount of a Tier 2 instrument, is recognised. Prior to the effective maturity date, the instrument would be considered an 'instrument that no longer qualifies as Additional Tier 1 or Tier 2' and therefore is phased out from 1 January 2013.
(3) For an instrument that has a call and a step-up between 12 September 2010 and 1 January 2013 (or another incentive to be redeemed), if the instrument is not called at its effective maturity date and on a forward-looking basis does not meet the new criteria for inclusion in Tier 1 or Tier 2, it is fully derecognised in that tier of regulatory capital from 1 January 2013 and not included in the base for the transitional arrangements.
(4) For an instrument that has a call and a step-up on or after 1 January 2013 (or another incentive to be redeemed), if the instrument is not called at its effective maturity date and on a forward looking basis does not meet the new criteria for inclusion in Tier 1 or Tier 2, it is derecognised in that tier of regulatory capital from the effective maturity date. Prior to the effective maturity date, the instrument would be considered an 'instrument that no longer qualifies as Additional Tier 1 or Tier 2' and therefore is phased out from 1 January 2013.
(5) For an instrument that had a call and a step-up on or prior to 12 September 2010 (or another incentive to be redeemed), if the instrument was not called at its effective maturity date and on a forward looking basis does not meet the new criteria for inclusion in Tier 1 or Tier 2, it is considered an 'instrument that no longer qualifies as Additional Tier 1 or Tier 2' and therefore is phased out from 1 January 2013.
FAQ
FAQ1 Does this mean that if there was a Tier 1 security that met all the requirements to qualify for Additional Tier 1 capital on a forward-looking basis after its call date and it is callable on 31 December 2014, on 1 January 2014, the security would count at 80% of notional but on 1 January 2015, if not called, it would count as 100% of Tier 1 capital?
FAQ2 If an instrument issued before 12 September 2010 has an incentive to redeem and does not fulfil the non-viability requirement in CAP10.11(16) or CAP10.16(10), but is otherwise compliant on a forward-looking basis, is it eligible for transitional arrangements?
If an instrument has an effective maturity date that occurs before 1 January 2013 and is not called, and complies with the entry criteria except for the non-viability requirement on 1 January 2013, then it is eligible for transitional arrangements.
If the instrument has an effectiv</t>
  </si>
  <si>
    <t xml:space="preserve">bcbs-sco-consolidated::SCO10::0002</t>
  </si>
  <si>
    <t xml:space="preserve">SCO10.3, SCO10.4, SCO10.5</t>
  </si>
  <si>
    <t xml:space="preserve">Footnotes
1 A holding company that is a parent of a banking group may itself have a parent holding company. In some structures, this parent holding company may not be subject to this framework because it is not considered a parent of a banking group.
10.3 The framework will also apply to all internationally active banks at every tier within a banking group, also on a fully consolidated basis (see illustrative chart at the end of this section). 2
Footnotes
2 As an alternative to full sub-consolidation, the application of this framework to the stand-alone bank (ie on a basis that does not consolidate assets and liabilities of subsidiaries) would achieve the same objective, providing the full book value of any investments in subsidiaries and significant minority-owned stakes is deducted from the bank's capital.
10.4 Further, to supplement consolidated supervision, it is essential to ensure that capital recognised in capital adequacy measures is adequately distributed amongst legal entities of a banking group. Accordingly, supervisors should test that individual banks are adequately capitalised on a stand-alone basis.
FAQ
FAQ1
How should banks treat investments in banks, insurance companies and other financial institutions that are included in the consolidated group in computing the capital ratio for the stand-alone parent bank entity?
The Basel framework is applied on a consolidated basis to internationally active banks. It captures the risks of a whole banking group. Although the framework recognises the need for adequate capitalisation on a stand-alone basis, it does not prescribe how to measure the solo capital requirements which is left to individual supervisory authorities.
10.5 The diagram below illustrates the scope of application of this framework, where (A) represents the boundary of the predominant banking group, to which the framework is to be applied on a consolidated basis (ie up to holding company level, as described in SCO10.2). With respect to (B), (C) and (D), the framework is also to be applied at lower levels to all internationally active banks on a consolidated basis.</t>
  </si>
  <si>
    <t xml:space="preserve">bcbs-sco-consolidated::SCO60::0003</t>
  </si>
  <si>
    <t xml:space="preserve">SCO60.1, SCO60.2, SCO60.3, SCO60.4, SCO60.5</t>
  </si>
  <si>
    <t xml:space="preserve">Introduction
60.1 This chapter sets out how the Basel Framework is to be applied in respect of banks' exposures to cryptoassets. Cryptoassets are defined as private digital assets that depend on cryptography and distributed ledger technologies (DLT) or similar technologies. Digital assets are a digital representation of value, which can be used for payment or investment purposes or to access a good or service.
60.2 Dematerialised securities (securities that have been moved from physical certificates to electronic book-keeping) that are issued through DLT or similar technologies are considered to be within the scope of this chapter and are referred to as tokenised traditional assets, whereas those dematerialised securities that use electronic versions of traditional registers and databases which are centrally administered are not within scope.
60.3 The prudential treatment of central bank digital currencies (CBDCs) is not described within the Basel Framework. The Committee will give further consideration to the treatment of CBDCs as they are issued.
60.4 For the purposes of this chapter, the term "exposure" includes on- or off-balance sheet amounts that give rise to credit, market, operational and/or liquidity risks. Certain parts of the chapter, such as the operational risk requirements and the risk management and supervisory review sections, are also applicable to banks' cryptoasset activities, such as custodial services involving the safekeeping or administration of client cryptoassets on a segregated basis, that do not generally give rise to credit, market or liquidity requirements.
60.5 The remainder of this chapter is organised according to the following sections:
(1) Classification conditions: SCO60.6 to SCO60.22.
(2) Banking/trading book boundary, use of internal models and accounting classification: SCO60.23 to SCO60.25.
(3) Minimum capital requirements for credit risk for Group 1 cryptoassets: SCO60.26 to SCO60.39.
(4) Minimum capital requirements for market risk for Group 1 cryptoassets: SCO60.40 to SCO60.51.
(5) Add-on for infrastructure risk for Group 1 cryptoassets: SCO60.52 to SCO60.53.
(6) Minimum capital requirements for Group 2 cryptoassets: SCO60.54 to SCO60.86.
(7) Minimum capital requirements for credit valuation adjustment (CVA) risk: SCO60.87 to SCO60.92.
(8) Minimum capital requirements for counterparty credit risk: SCO60.93 to SCO60.99.
(9) Minimum capital requirements for operational risk: SCO60.100.
(10) Minimum liquidity risk requirements: SCO60.101 to SCO60.112.
(11) Leverage ratio requirements: SCO60.113 to SCO60.114.
(12) Large exposure requirements: SCO60.115.
(13) Group 2 exposure limit: SCO60.116 to SCO60.119.
(14) Bank risk management and supervisory review: SCO60.120 to SCO60.127.
(15) Definitions: SCO60.128.</t>
  </si>
  <si>
    <t xml:space="preserve">bcbs-sco-consolidated::SCO10::0001</t>
  </si>
  <si>
    <t xml:space="preserve">SCO10.1, SCO10.2</t>
  </si>
  <si>
    <t xml:space="preserve">Version effective as of 15 Dec 2019
First version in the format of the consolidated framework.
10.1 This framework will be applied on a consolidated basis to internationally active banks. Consolidated supervision is the best means to provide supervisors with a comprehensive view of risks and to reduce opportunities for regulatory arbitrage.
10.2 The scope of application of the framework will include, on a fully consolidated basis, any holding company that is the parent entity within a banking group to ensure that it captures the risk of the whole banking group. 1 Banking groups are groups that engage predominantly in banking activities and, in some countries, a banking group may be registered as a bank.</t>
  </si>
  <si>
    <t xml:space="preserve">bcbs-239-2013::doc::0012</t>
  </si>
  <si>
    <t xml:space="preserve">31</t>
  </si>
  <si>
    <t xml:space="preserve">Principle 1
Governance - A bank's risk data aggregation capabilities and risk reporting practices should be subject to strong governance arrangements consistent with other principles and guidance established by the Basel Committee. 12
27. A bank's board and senior management should promote the identification, assessment and management of data quality risks as part of its overall risk management framework. The framework should include agreed service level standards for both outsourced and in-house risk data-related processes, and a firm's policies on data confidentiality, integrity and availability, as well as risk management policies.
28. A bank's board and senior management should review and approve the bank's group risk data aggregation and risk reporting framework and ensure that adequate resources are deployed.
29. A bank's risk data aggregation capabilities and risk reporting practices should be:
(a) Fully documented and subject to high standards of validation. This validation should be independent and review the bank's compliance with the Principles in this document. The primary purpose of the independent validation is to ensure that a bank's risk data aggregation and reporting processes are functioning as intended and are appropriate for the bank's risk profile. Independent validation activities should be aligned and integrated with the other independent review activities within the bank's risk management program, 13 and encompass all components of the bank's risk data aggregation and reporting processes. Common practices suggest that the independent validation of risk data aggregation and risk reporting practices should be conducted using staff with specific IT, data and reporting expertise. 14
(b) Considered as part of any new initiatives, including acquisitions and/or divestitures, new product development, as well as broader process and IT change initiatives. When considering a material acquisition, a bank's due diligence process should assess the risk data aggregation capabilities and risk reporting practices of the acquired entity, as well as the impact on its own risk data aggregation capabilities and risk reporting practices. The impact on risk data aggregation should be considered explicitly by the board and inform the decision to proceed. The bank
12 For instance, the Basel Committee's Principles for Enhancing Corporate Governance ( October 2010) and Enhancements to the Basel II framework (July 2009).
13 In particular the so-called 'second line of defence' within the bank's internal control system.
14 Furthermore, validation should be conducted separately from audit work to ensure full adherence to the distinction between the second and third lines of defence, within a bank's internal control system. See, inter alia, Principles 2 and 13 in the Basel Committee's Internal Audit Function in Banks ( June 2012).
should establish a timeframe to integrate and align the acquired risk data aggregation capabilities and risk report</t>
  </si>
  <si>
    <t xml:space="preserve">bcbs-239-2013::doc::0029</t>
  </si>
  <si>
    <t xml:space="preserve">Principle 14</t>
  </si>
  <si>
    <t xml:space="preserve">Principle 14
Home/host cooperation - Supervisors should cooperate with relevant supervisors in other jurisdictions regarding the supervision and review of the Principles, and the implementation of any remedial action if necessary.
83. Effective cooperation and appropriate information sharing between the home and host supervisory authorities should contribute to the robustness of a bank's risk management practices across a bank's operations in multiple jurisdictions. Wherever possible, supervisors should avoid performing redundant and uncoordinated reviews related to risk data aggregation and risk reporting.
84. Cooperation can take the form of sharing of information within the constraints of applicable laws, as well as discussion between supervisors on a bilateral or multilateral basis (eg through colleges of supervisors), including, but not limited to, regular meetings. Communication by conference call and email may be particularly useful in tracking required remedial actions. Cooperation through colleges should be in line with the Basel Committee's Good practice principles on supervisory colleges . 20
19 Basel Committee, Enhancements to the Basel II framework (July 2009).
20 Basel Committee , Good practice principles on supervisory colleges (October 2010) www.bis.org/publ/bcbs177.pdf
85. Supervisors should discuss their experiences regarding the quality of risk data aggregation capabilities and risk reporting practices in different parts of the group. This should include any impediments to risk data aggregation and risk reporting arising from cross-border issues and also whether risk data is distributed appropriately across the group. Such exchanges will enable supervisors to identify significant concerns at an early stage and to respond promptly and effectively.</t>
  </si>
  <si>
    <t xml:space="preserve">bcbs-pap-d403::doc::0010</t>
  </si>
  <si>
    <t xml:space="preserve">· Level of application :, · Level of application :, · Level of application :</t>
  </si>
  <si>
    <t xml:space="preserve">· Level of application :
o In the case of exposures to a non-retail counterparty where the bank has more than one exposure to that counterparty, the bank must consider all exposures to that counterparty as non-performing when any one of the material exposures is nonperforming. In other words, non-performing status should be applied at the level of the counterparty.
o In the case of exposures to a retail counterparty, the non-performing status can be applied at the transaction level. In the case of a retail counterparty with more than one
5 The definition of default in the IRB approach allows a 180 days past due threshold for retail and public sector exposures.
exposure from a bank, the bank should consider the non-performing or performing status of the other exposures when deciding about the status of a given exposure.
o In the case of exposures to a group, non-performing status can be applied at the counterparty level. At the same time, the bank should consider the non-performing or performing status of the other group entities when deciding about the status of any of the group entities.
· Upgrading to performing : the definition identifies specific criteria that need to be met to upgrade a non-performing exposure to performing status, especially regarding the amounts in arrears status and the counterparty's degree of solvency.
· Interaction of forbearance with non-performing exposures : the granting of forbearance measures to a counterparty or an exposure will not automatically alter the non-performing status of the counterparty or the exposure, but can be an additional input for moving a performing exposure to non-performing status.</t>
  </si>
  <si>
    <t xml:space="preserve">bcbs-pap-d403::doc::0013</t>
  </si>
  <si>
    <t xml:space="preserve">28</t>
  </si>
  <si>
    <t xml:space="preserve">[...]
25. The identification of an exposure as non-performing is not intended to affect its categorisation as impaired for accounting purposes 8 or as defaulted in accordance with the regulatory framework.
26. Forborne exposures should be identified as non-performing when they meet the specific criteria provided for in this definition.
27. Collateralisation or received guarantees should have no direct influence on the categorisation of an exposure as non-performing. However, the bank may consider the collateral when assessing a
6 Paragraph 452 of the Basel II framework: a default is considered to have occurred with regard to a particular obligor when either or both of the two following events have taken place.
· The bank considers that the obligor is unlikely to pay its credit obligations to the banking group in full, without recourse by the bank to actions such as realising security (if held).
· The obligor is past due more than 90 days on any material credit obligation to the banking group (footnote 89). Overdrafts will be considered as being past due once the customer has breached an advised limit or been advised of a limit smaller than current outstandings.
· (footnote 89) In the case of retail and public sector entities obligations, for the 90-day figure, a supervisor may substitute a figure of up to 180 days for different products, as it considers appropriate to local conditions. In one member country, local conditions make it appropriate to use a figure of up to 180 days also for lending by its banks to corporates; this applies for a transitional period of five years.
7 In particular, when the accounting framework is IFRS 9, 'impaired exposures' are those that are considered 'credit-impaired' in the meaning of IFRS 9 Appendix A. When the accounting framework is US GAAP, 'impaired exposures' are those exposures for which credit losses are measured under ASC Topic 326 and for which the bank has recorded a partial write-off.
8 Under IFRS 9, the identification of an exposure as non-performing does not necessarily have an effect on the impairment stage in which this exposure is allocated for accounting purposes. Under the US GAAP Current Expected Credit Loss model, the identification of an exposure as non-performing is not intended to affect the estimation of credit losses.
borrower's economic incentive (both positive and negative) to repay under the unlikeliness to repay criteria. Any recourse by the bank shall not be considered in this judgment. The collateralisation or guarantee status does not influence the past-due status, including the counting of past-due days and the determination of the exposure as non-performing, once the materiality and overdue days threshold have been met. When the relevant criteria are met, an exposure should be categorised as nonperforming even if the collateral value exceeds the amount of the past-due exposure.
28. A counterparty is a natural or legal person to which a bank has exposure. When a materia</t>
  </si>
  <si>
    <t xml:space="preserve">bcbs-pap-d403::doc::0014</t>
  </si>
  <si>
    <t xml:space="preserve">3.2. Recategorisation of non-performing exposures as performing</t>
  </si>
  <si>
    <t xml:space="preserve">3.2. Recategorisation of non-performing exposures as performing
31. An exposure ceases to be non-performing and can be recategorised as performing when all the following criteria are simultaneously met:
(i) the counterparty does not have any material exposure more than 90 days past due;
(ii) repayments have been made when due over a continuous repayment period as specified by the supervisor of at least three months. 10 A longer repayment period can be required for nonperforming forborne exposures;
(iii) the counterparty's situation has improved so that the full repayment of the exposure is likely, according to the original or, when applicable, modified conditions; and
(iv) the exposure is not 'defaulted' according to the Basel II standard or 'impaired' according to the applicable accounting framework.
32. The following situations will not lead to the recategorisation of a non-performing exposure as performing:
(i) partial write-off of an existing non-performing exposure, (ie when a bank writes off part of a non-performing exposure that it deems to be uncollectible);
(ii) repossession of collateral on a non-performing exposure, until the collateral is actually disposed of and the bank realises the proceeds (when the exposure is kept on balance sheet, it is deemed non-performing); or
10 In exceptional circumstances and subject to prior agreement from supervisors, a shortened period may be used when a bank puts in place specific remedial measures to restructure the borrower's business, that include a direct participation in the borrower, that are immediately applicable and make the full repayment of the exposure likely.
(iii) extension or granting of forbearance measures to an exposure that is already identified as nonperforming subject to the relevant exit criteria for non-performing exposures.
The recategorisation of a non-performing exposure as performing should be made on the same level (ie debtor or transaction approach) as when the exposure was originally categorised as non-performing.</t>
  </si>
  <si>
    <t xml:space="preserve">31, 3.2. Recategorisation of non-performing exposures as performing, 32</t>
  </si>
  <si>
    <t xml:space="preserve">bcbs-pap-d403::doc::0019</t>
  </si>
  <si>
    <t xml:space="preserve">41</t>
  </si>
  <si>
    <t xml:space="preserve">4.3. Interaction of forbearance with non-performing exposures
41. Forbearance may be granted on performing or non-performing exposures. When forbearance is applied to a non-performing exposure, the exposure should remain non-performing. When forbearance is applied to a performing exposure, the bank then needs to assess whether the exposure meets the non-performing criteria, even if the forbearance resulted in a new exposure. When the original exposure would have been categorised as non-performing at the time of granting forbearance, had the forbearance not been granted, the new exposure should be categorised as non-performing.
42. Banks should pay particular attention to the appropriate categorisation of exposures on which forbearance has been granted more than once. When a forborne exposure under the probation period is granted new forbearance, this should trigger a re-start of the probation period, and banks should consider whether the exposure should be categorised as non-performing.
43. The continuous repayment period for non-performing and the probation period for forbearance can run concurrently. All non-performing forborne exposures should remain nonperforming until they meet the criteria in paragraph 31. Thereafter, the remaining probation period for forbearance exit in paragraph 40 shall apply and the exposure should be identified as a performing forborne exposure.
44. When a forborne exposure becomes non-performing during the 12-month probation period, the probation period starts again.</t>
  </si>
  <si>
    <t xml:space="preserve">bcbs-pap-d403::doc::0003</t>
  </si>
  <si>
    <t xml:space="preserve">Executive summary</t>
  </si>
  <si>
    <t xml:space="preserve">Executive summary
(i) The global financial crisis revealed difficulties for supervisors and other stakeholders in identifying and comparing banks' information across jurisdictions. In particular, the Basel Committee on Banking Supervision recognised that there may be significant differences in how banks identify and report their asset quality.
(ii) In response to this issue, the Basel Committee formed a dedicated task force to analyse jurisdictions' and banks' practices regarding asset categorisation schemes - the system that requires loans to be grouped based on their credit quality - and to assess the consequences of any differences in practices.
(iii) The Basel Committee analysed the regulatory frameworks and supervisory practices across jurisdictions through a literature review and a survey of 28 supervisors, 1 as well as industry practices through a questionnaire and case studies sent to 39 banks from the 28 jurisdictions.
(iv) The literature review and the outcome of the survey questionnaires confirmed that banks categorise problem loans in a variety of ways. There are no consistent international standards for categorising problem loans.
(v) In addition, the analysis revealed varying practices across jurisdictions, as well as various layers of definitions within jurisdictions. In particular, it noted differences in the definitions of terms used in the accounting and regulatory frameworks, such as the concept of impairment or the definition of default used for modelling purposes. The analysis also identified that more than half of the jurisdictions included in the survey had established local/national supervisory definitions for asset categorisation different from those used in the accounting framework and/or the definition of default in order to achieve consistent supervisory reporting and disclosure on asset quality driven by prudential considerations.
(vi) Against this background, the Basel Committee developed guidelines for the definitions for two important terms - 'non-performing exposures' and 'forbearance'. The definitions are built on commonalities in the existing definitions of many countries. These will help harmonise the quantitative and qualitative criteria used for credit categorisation and provide the starting point for countries with no existing definitions to develop them.
(vii) The definition of non-performing exposures introduces harmonised criteria for categorising loans and debt securities that are centred on delinquency status (90 days past due) or the unlikeliness of repayment. It also clarifies the consideration of collateral in categorising assets as non-performing. The definition focuses on a debtor basis, but allows categorisation of exposures as non-performing on a transaction basis for retail exposures. It also introduces clear rules regarding the upgrading of a non-performing exposure to performing and the interaction between forbearance and non-performing status. The definition of forbearance provides a h</t>
  </si>
  <si>
    <t xml:space="preserve">pra-ss1-23-2023::doc::0028</t>
  </si>
  <si>
    <t xml:space="preserve">Principle 2.1 Board of directors' responsibilities</t>
  </si>
  <si>
    <t xml:space="preserve">Principle 2.1 Board of directors' responsibilities
The firm-wide MRM framework should be subject to leadership from the board of directors to ensure it is effectively designed.
a) The board of directors should establish a comprehensive firm-wide MRM framework that is part of its broader risk management framework and proportionate to its size and business activities; the complexity of its models; and the nature and extent of use of models.
b) The framework should be designed to promote an understanding of model risk, on both an individual model basis as well as in aggregate across the firm, and should promote the management of model risk as a risk discipline in its own right. The
9 Data, usually unstructured and non-financial data, not traditionally used in financial modelling, including satellite imagery, telemetric or biometric data, and social-media feeds. These data are unstructured in the sense that they do not have a defined data model or pre-existing organisation.
10 The ease or difficulty of predicting what a model will do, ie the degree to which the cause of a decision can be understood.
11 Defined here as the degree to which the workings of a model can be understood in nontechnical terms.
12 When elements of a dataset (or as a result of model design) are more heavily weighted and/or represented than others, producing results that could have ethical and/ or social implications.
framework should clearly define roles and responsibilities in relation to model risk across business, risk and control functions.
c) The board should set a model risk appetite that articulates the level and types of model risk the firm is willing to accept. The model risk appetite should be proportionate to the nature and type of models used. Firms' model risk appetite should include measures for:
(i) effectiveness of the design and operation of the MRM framework;
(ii) identifying models and approving their use for decision making;
(iii) limits on model use, exceptions and overall compliance;
(iv) thresholds for acceptable model performance and tolerance for errors; and
(v) effectiveness of use of model risk mitigants and oversight of the use of expert judgement.
d) The board should receive regular reports on the firms' model risk profile against its model risk appetite. Reports should include qualitative measures describing: the effectiveness of the control framework and model use; the significant model risks arising either from individual models or in aggregate; significant changes in model performance over time; and the extent of compliance with the MRM framework.
e) The board is expected to provide challenge to the outputs of the most material models, and to understand: the capabilities and limitations of the models, the model operating boundaries under which model performance is expected be acceptable; the potential impact of poor model performance; and the mitigants in place should model performance deteriorate.</t>
  </si>
  <si>
    <t xml:space="preserve">pra-ss1-23-2023::doc::0050</t>
  </si>
  <si>
    <t xml:space="preserve">Principle 5.2 Restrictions on model use</t>
  </si>
  <si>
    <t xml:space="preserve">Principle 5.2 Restrictions on model use
a) Firms should consider placing restrictions on model use when significant model deficiencies and/or errors are identified during the validation process, or if model performance tests show a significant breach has or is likely to occur, including:
(i) permitting the use of the model only under strict controls or mitigants; and
(ii) placing limits on the model's use including prohibiting the model to be used for specific purposes.
b) The process of managing significant model deficiencies, or inadequate model performance should be adequately documented and reported to key stakeholders (model owners, users, validation staff, and senior management), including recording the nature of the issues and tracking the status of remediation in the model inventory.</t>
  </si>
  <si>
    <t xml:space="preserve">sr-11-7-2011::doc::0012</t>
  </si>
  <si>
    <t xml:space="preserve">1. Evaluation of Conceptual Soundness, 1. Evaluation of Conceptual Soundness, 1. Evaluation of Conceptual Soundness</t>
  </si>
  <si>
    <t xml:space="preserve">1. Evaluation of Conceptual Soundness
This element involves assessing the quality of the model design and construction. It entails review of documentation and empirical evidence supporting the methods used and variables selected for the model. Documentation and testing should convey an understanding of model limitations and assumptions. Validation should ensure that judgment exercised in model design and construction is well informed, carefully considered, and consistent with published research and with sound industry practice. Developmental evidence should be reviewed before a model goes into use and also as part of the ongoing validation process, in particular whenever there is a material change in the model.
A sound development process will produce documented evidence in support of all model choices, including the overall theoretical construction, key assumptions, data, and specific mathematical calculations, as mentioned in Section IV. As part of model validation, those model aspects should be subjected to critical analysis by both evaluating the quality and extent of developmental evidence and conducting additional analysis and testing as necessary. Comparison to alternative theories and approaches should be included. Key assumptions and the choice of variables should be assessed, with analysis of their impact on model outputs and particular focus on any potential limitations. The relevance of the data used to build the model should be evaluated to ensure that it is reasonably representative of the bank's portfolio or market conditions, depending on the type of model. This is an especially important exercise when a bank uses external data or the model is used for new products or activities.
Where appropriate to the particular model, banks should employ sensitivity analysis in model development and validation to check the impact of small changes in inputs and parameter values on model outputs to make sure they fall within an expected range. Unexpectedly large changes in outputs in response to small changes in inputs can indicate an unstable model. Varying several inputs simultaneously as part of sensitivity analysis can provide evidence of unexpected interactions, particularly if the interactions are complex and not intuitively clear. Banks benefit from conducting model stress testing to check performance over a wide range of inputs and parameter values, including extreme values, to verify that the model is robust. Such testing helps establish the boundaries of model performance by identifying the acceptable range of inputs as well as conditions under which the model may become unstable or inaccurate.
Management should have a clear plan for using the results of sensitivity analysis and other quantitative testing. If testing indicates that the model may be inaccurate or unstable in some circumstances, management should consider modifying certain model properties, [Page Break]
putting less reliance on its outputs, placing limits on model u</t>
  </si>
  <si>
    <t xml:space="preserve">sr-11-7-2011::doc::0018</t>
  </si>
  <si>
    <t xml:space="preserve">Policies and Procedures</t>
  </si>
  <si>
    <t xml:space="preserve">Policies and Procedures
Consistent with good business practices and existing supervisory expectations, banks should formalize model risk management activities with policies and the procedures to implement them. Model risk management policies should be consistent with this guidance and also be commensurate with the bank's relative complexity, business activities, corporate culture, and overall organizational structure. The board or its delegates should approve model risk management policies and review them annually to ensure consistent and rigorous practices across the organization. Those policies should be updated as necessary to ensure that model risk management practices remain appropriate and keep current with changes in market conditions, bank products and strategies, bank exposures and activities, and practices in the industry. All aspects of model risk management should be covered by suitable policies, including model and model risk definitions; assessment of model risk; acceptable practices for model development, implementation, and use; appropriate model validation activities; and governance and controls over the model risk management process.
Policies should emphasize testing and analysis, and promote the development of targets for model accuracy, standards for acceptable levels of discrepancies, and procedures for review of and response to unacceptable discrepancies. They should include a description [Page Break]
of the processes used to select and retain vendor models, including the people who should be involved in such decisions.
The prioritization, scope, and frequency of validation activities should be addressed in these policies. They should establish standards for the extent of validation that should be performed before models are put into production and the scope of ongoing validation. The policies should also detail the requirements for validation of vendor models and third-party products. Finally, they should require maintenance of detailed documentation of all aspects of the model risk management framework, including an inventory of models in use, results of the modeling and validation processes, and model issues and their resolution.
Policies should identify the roles and assign responsibilities within the model risk management framework with clear detail on staff expertise, authority, reporting lines, and continuity. They should also outline controls on the use of external resources for validation and compliance and specify how that work will be integrated into the model risk management framework.</t>
  </si>
  <si>
    <t xml:space="preserve">V. MODEL VALIDATION</t>
  </si>
  <si>
    <t xml:space="preserve">bcbs-srp32-consolidated::SRP32::0002</t>
  </si>
  <si>
    <t xml:space="preserve">SRP32.1</t>
  </si>
  <si>
    <t xml:space="preserve">Stress tests under the internal ratings-based approaches
32.1 A bank should ensure that it has sufficient capital to meet the Pillar 1 requirements and the results (where a deficiency has been indicated) of the credit risk stress test performed as part of the Pillar 1 internal ratings-based (IRB) minimum requirements CRE36.50 to CRE36.53. Supervisors may wish to review how the stress test has been carried out. The results of the stress test will thus contribute directly to the expectation that a bank will operate above the Pillar 1 minimum regulatory capital ratios. Supervisors will consider whether a bank has sufficient capital for these purposes. To the extent that there is a shortfall, the supervisor will react appropriately. This will usually involve requiring the bank to reduce its risks and/or to hold additional capital/provisions, so that existing capital resources could cover the Pillar 1 requirements plus the result of a recalculated stress test.</t>
  </si>
  <si>
    <t xml:space="preserve">bcbs-srp32-consolidated::SRP32::0005</t>
  </si>
  <si>
    <t xml:space="preserve">SRP32.6, SRP32.7, SRP32.8, SRP32.9, SRP32.10, SRP32.11, SRP32.12, SRP32.13</t>
  </si>
  <si>
    <t xml:space="preserve">Credit concentration risk
32.6 A risk concentration is any single exposure or group of exposures with the potential to produce losses large enough (relative to a bank's capital, total assets, or overall risk level) to threaten a bank's health or ability to maintain its core operations. Risk concentrations are arguably the single most important cause of major problems in banks.
32.7 Risk concentrations can arise in a bank's assets, liabilities, or off-balance sheet items, through the execution or processing of transactions (either product or service), or through a combination of exposures across these broad categories. Because lending is the primary activity of most banks, credit risk concentrations are often the most material risk concentrations within a bank.
32.8 Credit risk concentrations, by their nature, are based on common or correlated risk factors, which, in times of stress, have an adverse effect on the creditworthiness of each of the individual counterparties making up the concentration. Concentration risk arises in both direct exposures to obligors and may also occur through exposures to protection providers. Such concentrations are not addressed in the Pillar 1 capital charge for credit risk.
32.9 Banks should have in place effective internal policies, systems and controls to identify, measure, monitor, and control their credit risk concentrations. Banks should explicitly consider the extent of their credit risk concentrations in their assessment of capital adequacy under Pillar 2. These policies should cover the different forms of credit risk concentrations to which a bank may be exposed. Such concentrations include:
(1) significant exposures to an individual counterparty or group of related counterparties. In many jurisdictions, supervisors define a limit for exposures of this nature, commonly referred to as a large exposure limit. Banks might also establish an aggregate limit for the management and control of all of its large exposures as a group;
(2) credit exposures to counterparties in the same economic sector or geographic region;
(3) credit exposures to counterparties whose financial performance is dependent on the same activity or commodity; and
(4) indirect credit exposures arising from a bank's CRM activities (eg exposure to a single collateral type or to credit protection provided by a single counterparty).
32.10 A bank's framework for managing credit risk concentrations should be clearly documented and should include a definition of the credit risk concentrations relevant to the bank and how these concentrations and their corresponding limits are calculated. Limits should be defined in relation to a bank's capital, total assets or, where adequate measures exist, its overall risk level.
32.11 A bank's management should conduct periodic stress tests of its major credit risk concentrations and review the results of those tests to identify and respond to potential changes in market conditions that could adversely im</t>
  </si>
  <si>
    <t xml:space="preserve">bcbs-srp32-consolidated::SRP32::0007</t>
  </si>
  <si>
    <t xml:space="preserve">SRP32.32, SRP32.33, SRP32.34, SRP32.35, SRP32.36, SRP32.37, SRP32.38, SRP32.39, SRP32.40</t>
  </si>
  <si>
    <t xml:space="preserve">[...]
32.32 When assessing securitisation exposures, a bank should ensure that it fully understands the credit quality and risk characteristics of the underlying exposures in structured credit transactions, including any risk concentrations. In addition, a bank should review the maturity of the exposures underlying structured credit transactions relative to the issued liabilities in order to assess potential maturity mismatches.
32.33 A bank should track credit risk in securitisation exposures at the transaction level and across securitisations exposures within each business line and across business lines. It should produce reliable measures of aggregate risk. A bank also should track all meaningful concentrations in securitisation exposures, such as name, product or sector concentrations, and feed this information to firm-wide risk aggregation systems that track, for example, credit exposure to a particular obligor.
32.34 A bank's own assessment of risk needs to be based on a comprehensive understanding of the structure of the securitisation transaction. It should identify the various types of triggers, credit events and other legal provisions that may affect the performance of its onand off-balance sheet exposures and integrate these triggers and provisions into its funding/liquidity, credit and balance sheet management. The impact of the events or triggers on a bank's liquidity and capital position should also be considered.
32.35 A bank should consider and, where appropriate, mark-to-market warehoused positions, as well as those in the pipeline, regardless of the probability of securitising the exposures. It should consider scenarios which may prevent it from securitising its assets as part of its stress testing (as discussed in SRP30) and identify the potential effect of such exposures on its liquidity, earnings and capital adequacy.
32.36 A bank should develop prudent contingency plans specifying how it would respond to funding, capital and other pressures that arise when access to securitisation markets is reduced. The contingency plans should also address how the bank would address valuation challenges for potentially illiquid positions held for sale or for trading. The risk measures, stress testing results and contingency plans should be incorporated into the bank's risk management processes and its ICAAP, and should result in an appropriate level of capital under Pillar 2 in excess of the minimum requirements.
32.37 A bank that employs risk mitigation techniques should fully understand the risks to be mitigated, the potential effects of that mitigation and whether or not the mitigation is fully effective. This is to help ensure that the bank does not understate the true risk in its assessment of capital. In particular, it should consider whether it would provide support to
the securitisation structures in stressed scenarios due to the reliance on securitisation as a funding tool.
32.38 Further to the Pillar 1 principle that bank</t>
  </si>
  <si>
    <t xml:space="preserve">bcbs-srp32-consolidated::SRP32::0006</t>
  </si>
  <si>
    <t xml:space="preserve">SRP32.14, SRP32.15, SRP32.16, SRP32.17, SRP32.18, SRP32.19, SRP32.20, SRP32.21, SRP32.22, SRP32.23, SRP32.24</t>
  </si>
  <si>
    <t xml:space="preserve">Counterparty credit risk
32.14 As counterparty credit risk (CCR) represents a form of credit risk, this would include meeting this Framework's standards regarding their approaches to stress testing, 'residual risks' associated with credit risk mitigation techniques, and credit concentrations, as specified in the paragraphs above.
32.15 The bank must have counterparty credit risk management policies, processes and systems that are conceptually sound and implemented with integrity relative to the sophistication and complexity of a firm's holdings of exposures that give rise to CCR. A sound counterparty credit risk management framework shall include the identification, measurement, management, approval and internal reporting of CCR.
32.16 The bank's risk management policies must take account of the market, liquidity, legal and operational risks that can be associated with CCR and, to the extent practicable, interrelationships among those risks. The bank must not undertake business with a counterparty without assessing its creditworthiness and must take due account of both settlement and pre-settlement credit risk. These risks must be managed as comprehensively as practicable at the counterparty level (aggregating counterparty exposures with other credit exposures) and at the firm-wide level.
32.17 The board of directors and senior management must be actively involved in the CCR control process and must regard this as an essential aspect of the business to which significant resources need to be devoted. Where the bank is using an internal model for CCR, senior management must be aware of the limitations and assumptions of the model used and the impact these can have on the reliability of the output. They should also consider the uncertainties of the market environment (eg timing of realisation of collateral) and operational issues (eg pricing feed irregularities) and be aware of how these are reflected in the model.
32.18 In this regard, the daily reports prepared on a firm's exposures to CCR must be reviewed by a level of management with sufficient seniority and authority to enforce both reductions of positions taken by individual credit managers or traders and reductions in the firm's overall CCR exposure.
32.19 The bank's CCR management system must be used in conjunction with internal credit and trading limits. In this regard, credit and trading limits must be related to the firm's risk measurement model in a manner that is consistent over time and that is well understood by credit managers, traders and senior management.
32.20 The measurement of CCR must include monitoring daily and intra-day usage of credit lines. The bank must measure current exposure gross and net of collateral held where such measures are appropriate and meaningful (eg over-the-counter, or OTC, derivatives,
margin lending). Measuring and monitoring peak exposure or potential future exposure at a confidence level chosen by the bank at both the portfolio and counterpart</t>
  </si>
  <si>
    <t xml:space="preserve">bcbs-cre-consolidated::CRE22::0007</t>
  </si>
  <si>
    <t xml:space="preserve">CRE22.16, CRE22.17, CRE22.19, CRE22.20, CRE22.21, CRE22.22, CRE22.23, CRE22.24</t>
  </si>
  <si>
    <t xml:space="preserve">Overview of credit risk mitigation techniques
Collateralised transactions
22.16 A collateralised transaction is one in which:
(1) banks have a credit exposure or a potential credit exposure; and
(2) that credit exposure or potential credit exposure is hedged in whole or in part by collateral posted by a counterparty or by a third party on behalf of the counterparty.
22.17 Where banks take eligible financial collateral, they may reduce their regulatory capital requirements through the application of CRM techniques. 2 Footnotes
2 Alternatively, banks with appropriate supervisory approval may instead use the internal models method for counterparty credit risk (CRE53) to determine the exposure amount, taking into account collateral.
22.18 Banks may opt for either:
(1) The simple approach, which replaces the risk weight of the counterparty with the risk weight of the collateral for the collateralised portion of the exposure (generally subject to a 20% floor); or
(2) The comprehensive approach, which allows a more precise offset of collateral against exposures, by effectively reducing the exposure amount by a volatility-adjusted value ascribed to the collateral.
22.19 Detailed operational requirements for both the simple approach and comprehensive approach are given in CRE22.32 to CRE22.65. Banks may operate under either, but not both, approaches in the banking book.
22.20 For collateralised OTC transactions, exchange traded derivatives and long settlement transactions, banks may use the standardised approach for counterparty credit risk (CRE52) or the internal models method (CRE53) to calculate the exposure amount, in accordance with CRE22.66 to CRE22.67.
On-balance sheet netting
22.21 Where banks have legally enforceable netting arrangements for loans and deposits that meet the conditions in CRE22.68 and CRE22.69 they may calculate capital requirements on the basis of net credit exposures as set out in that paragraph.
Guarantees and credit derivatives
22.22 Where guarantees or credit derivatives fulfil the minimum operational conditions set out in CRE22.70 to CRE22.72, banks may take account of the credit protection offered by such credit risk mitigation techniques in calculating capital requirements.
22.23 A range of guarantors and protection providers are recognised and a substitution approach applies for capital requirement calculations. Only guarantees issued by or protection provided by entities with a lower risk weight than the counterparty lead to reduced capital charges for the guaranteed exposure, since the protected portion of the
counterparty exposure is assigned the risk weight of the guarantor or protection provider, whereas the uncovered portion retains the risk weight of the underlying counterparty.
22.24 Detailed conditions and operational requirements for guarantees and credit derivatives are given in CRE22.70 to CRE22.84.</t>
  </si>
  <si>
    <t xml:space="preserve">bcbs-cre-consolidated::CRE32::0004</t>
  </si>
  <si>
    <t xml:space="preserve">Risk components for corporate, sovereign and bank exposures</t>
  </si>
  <si>
    <t xml:space="preserve">Risk components for corporate, sovereign and bank exposures
32.2 This section, CRE32.2 to CRE32.56, sets out the calculation of the risk components for corporate, sovereign and bank exposures. In the case of an exposure that is guaranteed by a sovereign, the floors that apply to the risk components do not apply to that part of the exposure covered by the sovereign guarantee (ie any part of the exposure that is not covered by the guarantee is subject to the relevant floors).
Probability of default (PD)
32.3 For corporate, sovereign and bank exposures, the PD is the one-year PD associated with the internal borrower grade to which that exposure is assigned. The PD of borrowers assigned to a default grade(s), consistent with the reference definition of default, is 100%. The minimum requirements for the derivation of the PD estimates associated with each internal borrower grade are outlined in CRE36.77 to CRE36.79.
32.4 With the exception of exposures in the sovereign asset class, the PD for each exposure that is used as input into the risk weight formula and the calculation of expected loss must not be less than 0.05%.
Loss given default (LGD)
32.5 A bank must provide an estimate of the LGD for each corporate, sovereign and bank exposure. There are two approaches for deriving this estimate: a foundation approach and an advanced approach. As noted in CRE30.34, the advanced approach is not permitted for exposures to certain entities.
LGD under the foundation internal ratings-based (F-IRB) approach: treatment of unsecured claims and non-recognised collateral
32.6 Under the foundation approach, senior claims on sovereigns, banks, securities firms and other financial institutions (including insurance companies and any financial institutions in the corporate asset class) that are not secured by recognised collateral will be assigned a 45% LGD. Senior claims on other corporates that are not secured by recognised collateral will be assigned a 40% LGD.
32.7 All subordinated claims on corporates, sovereigns and banks will be assigned a 75% LGD. A subordinated loan is a facility that is expressly subordinated to another facility. At national discretion, supervisors may choose to employ a wider definition of subordination. This might include economic subordination, such as cases where the facility is unsecured and the bulk of the borrower's assets are used to secure other exposures.
32.8 In addition to the eligible financial collateral recognised in the standardised approach, under the F-IRB approach some other forms of collateral, known as eligible IRB collateral, are also recognised. These include receivables, specified commercial and residential real
LGD under the F-IRB approach: collateral recognition
estate, and other physical collateral, where they meet the minimum requirements set out in CRE36.131 to CRE36.147. For eligible financial collateral, the requirements are identical to the operational standards as set out in the credit risk mitigatio</t>
  </si>
  <si>
    <t xml:space="preserve">bcbs-cre-consolidated::CRE32::0005</t>
  </si>
  <si>
    <t xml:space="preserve">CRE32.15, CRE32.16, CRE32.17, CRE32.18, CRE32.19, CRE32.20, CRE32.21, CRE32.22, CRE32.23, CRE32.24</t>
  </si>
  <si>
    <t xml:space="preserve">[...]
(1) LGDSi is the LGD applicable to that form of collateral (as specified in CRE32.11).
(2) ESi is the current value of the collateral received after the application of the haircut applicable for the type of collateral (Hc) (as specified in CRE32.11).
LGD under the advanced approach
32.15 Subject to certain additional minimum requirements specified below (and the conditions set out in CRE30.34), supervisors may permit banks to use their own internal estimates of LGD for corporate and sovereign exposures. LGD must be measured as the loss given default as a percentage of the EAD. Banks eligible for the IRB approach that are unable to meet these additional minimum requirements must utilise the foundation LGD treatment described above.
32.16 The LGD for each corporate exposure that is used as input into the risk weight formula and the calculation of expected loss must not be less than the parameter floors indicated in the table below (the floors do not apply to the LGD for exposures in the sovereign asset class):
32.17 The LGD floors for secured exposures in the table above apply when the exposure is fully secured (ie the value of collateral after the application of haircuts exceeds the value of the exposure). The LGD floor for a partially secured exposure is calculated as a weighted average of the unsecured LGD floor for the unsecured portion and the secured LGD floor for the secured portion. That is, the following formula should be used to determine the LGD floor, where:
(1) LGDU floor and LGDS floor are the floor values for fully unsecured and fully secured exposures respectively, as specified in the table in CRE32.16.
(2) The other terms are defined as set out in CRE32.10 and CRE32.11.
32.18 In cases where a bank has met the conditions to use their own internal estimates of LGD for a pool of unsecured exposures, and takes collateral against one of these exposures, it may not be able to model the effects of the collateral (ie it may not have enough data to model the effect of the collateral on recoveries). In such cases, the bank is permitted to apply the formula set out in CRE32.10 or CRE32.14, with the exception that the LGD term would be the bank's own internal estimate of the unsecured LGD. To adopt this treatment the collateral must be eligible under the F-IRB and the bank's estimate of LGD must not take account of any effects of collateral recoveries.
32.19 The minimum requirements for the derivation of LGD estimates are outlined in CRE36.83 to CRE36.88.
Treatment of certain repo-style transactions
32.20 Banks that want to recognise the effects of master netting agreements on repo-style transactions for capital purposes must apply the methodology outlined in CRE32.38 for determining E* for use as the EAD in the calculation of counterparty credit risk. For banks using the advanced approach, own LGD estimates would be permitted for the unsecured equivalent amount (E*) used to calculate counterparty credit risk. In both cases b</t>
  </si>
  <si>
    <t xml:space="preserve">bcbs-cre-consolidated::CRE36::0023</t>
  </si>
  <si>
    <t xml:space="preserve">CRE36.140, CRE36.141, CRE36.142, CRE36.143, CRE36.144, CRE36.145</t>
  </si>
  <si>
    <t xml:space="preserve">[...]
36.140 The bank must maintain a continuous monitoring process that is appropriate for the specific exposures (either immediate or contingent) attributable to the collateral to be utilised as a risk mitigant. This process may include, as appropriate and relevant, ageing reports, control of trade documents, borrowing base certificates, frequent audits of collateral, confirmation of accounts, control of the proceeds of accounts paid, analyses of dilution (credits given by the borrower to the issuers) and regular financial analysis of both the borrower and the issuers of the receivables, especially in the case when a small number of large-sized receivables are taken as collateral. Observance of the bank's overall concentration limits should be monitored. Additionally, compliance with loan covenants, environmental restrictions, and other legal requirements should be reviewed on a regular basis.
36.141 The receivables pledged by a borrower should be diversified and not be unduly correlated with the borrower. Where the correlation is high, eg where some issuers of the
receivables are reliant on the borrower for their viability or the borrower and the issuers belong to a common industry, the attendant risks should be taken into account in the setting of margins for the collateral pool as a whole. Receivables from affiliates of the borrower (including subsidiaries and employees) will not be recognised as risk mitigants.
36.142 The bank should have a documented process for collecting receivable payments in distressed situations. The requisite facilities for collection should be in place, even when the bank normally looks to the borrower for collections.
Requirements for recognition of other physical collateral
36.143 Supervisors may allow for recognition of the credit risk mitigating effect of certain other physical collateral when the following conditions are met:
(1) The bank demonstrates to the satisfaction of the supervisor that there are liquid markets for disposal of collateral in an expeditious and economically efficient manner. Banks must carry out a reassessment of this condition both periodically and when information indicates material changes in the market.
(2) The bank demonstrates to the satisfaction of the supervisor that there are well established, publicly available market prices for the collateral. Banks must also demonstrate that the amount they receive when collateral is realised does not deviate significantly from these market prices.
36.144 In order for a given bank to receive recognition for additional physical collateral, it must meet all the standards in CRE36.131 and CRE36.132, subject to the following modifications:
(1) With the sole exception of permissible prior claims specified in the footnote to CRE36.131, only first liens on, or charges over, collateral are permissible. As such, the bank must have priority over all other lenders to the realised proceeds of the collateral.
(2) The loan agreement must include d</t>
  </si>
  <si>
    <t xml:space="preserve">bcbs-cre-consolidated::CRE20::0034</t>
  </si>
  <si>
    <t xml:space="preserve">CRE20.76, CRE20.77, CRE20.78, CRE20.79</t>
  </si>
  <si>
    <t xml:space="preserve">Footnotes
31 If a bank grants different loans secured by the same property and they are sequential in ranking order (ie there is no intermediate lien from another bank), the different loans should be considered as a single exposure for risk-weighting purposes, and the amount of the loans should be added to calculate the LTV.
32 In jurisdictions where junior liens held by a different bank than that holding the senior lien are recognised (in accordance with CRE20.71), the loan amount of the junior liens must include all other loans secured with liens of equal or higher ranking than the bank's lien securing the loan for purposes of defining the LTV bucket and risk weight for the junior lien. If there is insufficient information for ascertaining the ranking of the other liens, the bank should assume that these liens rank pari passu with the junior lien held by the bank. This treatment does not apply to exposures that are risk weighted according to the loan splitting approach CRE20.83 and CRE20.86, where the junior lien would be taken into account in the calculation of the value of the property. The bank will first determine the 'base' risk weight based on Tables 11, 12, 13 or 14 as applicable and adjust the 'base' risk weight by a multiplier of 1.25, for application to the loan amount of the junior lien. If the 'base' risk weight corresponds to the lowest LTV bucket, the multiplier will not be applied. The resulting risk weight of multiplying the 'base' risk weight by 1.25 will be capped at the risk weight applied to the exposure when the requirements in CRE20.71 are not met.
33 The valuation must be done independently from the bank's mortgage acquisition,
loan processing and loan decision process.
34 In the case where the mortgage loan is financing the purchase of the property, the value of the property for LTV purposes will not be higher than the effective purchase price.
FAQ
FAQ1 determining property value?
To what extent should banks consider climate-related financial risks when
Banks should determine whether the current market value incorporates the potential changes in the value of properties emerging from climate-related financial risks (eg potential damage related to weather hazard, the implementation of climate-policy standards or changes in investment and consumption patterns derived from transition policies). National supervisors should consider jurisdictionspecific features that account for climate-related financial risks when setting out prudent valuation criteria.
20.76 A guarantee or financial collateral may be recognised as a credit risk mitigant in relation to exposures secured by real estate if it qualifies as eligible collateral under the credit risk mitigation framework. This may include mortgage insurance 35 if it meets the operational requirements of the credit risk mitigation framework for a guarantee. Banks may recognise these risk mitigants in calculating the exposure amount; however, the LTV bucket and risk weight </t>
  </si>
  <si>
    <t xml:space="preserve">bcbs-rbc-consolidated::RBC30::0003</t>
  </si>
  <si>
    <t xml:space="preserve">RBC30.1, RBC30.2</t>
  </si>
  <si>
    <t xml:space="preserve">Capital conservation buffer
30.1 This chapter outlines the operation of the capital conservation buffer, which is designed to ensure that banks build up capital buffers outside periods of stress which can be drawn down as losses are incurred. The requirement is based on simple capital conservation rules designed to avoid breaches of minimum capital requirements.
30.2 A capital conservation buffer of 2.5%, comprised of Common Equity Tier 1 (CET1), is established above the regulatory minimum capital requirement. 1 Capital distribution constraints will be imposed on a bank when capital levels fall within this range. Banks will be able to conduct business as normal when their capital levels fall into the conservation range as they experience losses. The constraints imposed only relate to distributions, not the operation of the bank.</t>
  </si>
  <si>
    <t xml:space="preserve">ifrs9-extract::doc::0036</t>
  </si>
  <si>
    <t xml:space="preserve">More than 30 days past due rebuttable presumption, More than 30 days past due rebuttable presumption</t>
  </si>
  <si>
    <t xml:space="preserve">More than 30 days past due rebuttable presumption
The rebuttable presumption in paragraph 5.5.11 is not an absolute indicator that lifetime expected credit losses should be recognised, but is presumed to be the latest point at which lifetime expected credit losses should be recognised even when using forward-looking information (including macroeconomic factors on a portfolio level). An entity can rebut this presumption. However, it can do so only when it has reasonable and supportable information available that demonstrates that even if contractual payments become more than 30 days past due, this does not represent a significant increase in the credit risk of a financial instrument. For example when non-payment was an administrative oversight, instead of resulting from financial difficulty of the borrower, or the entity has access to historical evidence that demonstrates that there is no correlation between significant increases in the risk of a default occurring and financial assets on which payments are more than 30 days past due, but that evidence does identify such a correlation when payments are more than 60 days past due. B5.5.19 B5.5.20 B5.5.21
An entity cannot align the timing of significant increases in credit risk and the recognition of lifetime expected credit losses to when a financial asset is regarded as credit-impaired or an entity's internal definition of default.</t>
  </si>
  <si>
    <t xml:space="preserve">ifrs9-extract::doc::0021</t>
  </si>
  <si>
    <t xml:space="preserve">Impairment (Section 5.5)</t>
  </si>
  <si>
    <t xml:space="preserve">Impairment (Section 5.5)
An entity shall apply the impairment requirements in Section 5.5 retrospectively in accordance with IAS 8 subject to paragraphs 7.2.15 and 7.2.18-7.2.20. 7.2.17
At the date of initial application, an entity shall use reasonable and supportable information that is available without undue cost or effort to determine the credit risk at the date that a financial instrument was initially recognised (or for loan commitments and financial guarantee contracts at the date that the entity became a party to the irrevocable commitment in accordance with paragraph 5.5.6) and compare that to the credit risk at the date of initial application of this Standard. 7.2.18
When determining whether there has been a significant increase in credit risk since initial recognition, an entity may apply: 7.2.19
(a) the requirements in paragraphs 5.5.10 and B5.5.22-B5.5.24; and
(b) the rebuttable presumption in paragraph 5.5.11 for contractual payments that are more than 30 days past due if an entity will apply the impairment requirements by identifying significant increases in credit risk since initial recognition for those financial instruments on the basis of past due information.
If, at the date of initial application, determining whether there has been a significant increase in credit risk since initial recognition would require undue cost or effort, an entity shall recognise a loss allowance at an amount equal to lifetime expected credit losses at each reporting date until that financial instrument is derecognised (unless that financial instrument is low credit risk at a reporting date, in which case paragraph 7.2.19(a) applies). 7.2.20</t>
  </si>
  <si>
    <t xml:space="preserve">ifrs9-extract::doc::0010</t>
  </si>
  <si>
    <t xml:space="preserve">Determining significant increases in credit risk</t>
  </si>
  <si>
    <t xml:space="preserve">Determining significant increases in credit risk
At each reporting date, an entity shall assess whether the credit risk on a financial instrument has increased significantly since initial recognition. When making the assessment, an entity shall use the change in the risk of a default occurring over the expected life of the financial instrument instead of the change in the amount of expected credit losses. To make that assessment, an entity shall compare the risk of a default occurring on the financial instrument as at the reporting date with the risk of a default occurring on the financial instrument as at the date of initial recognition and consider reasonable and supportable information, that is available without undue cost or effort, that is indicative of significant increases in credit risk since initial recognition. 5.5.9
An entity may assume that the credit risk on a financial instrument has not increased significantly since initial recognition if the financial instrument is determined to have low credit risk at the reporting date (see paragraphs B5.5.22-B5.5.24). 5.5.10
If reasonable and supportable forward-looking information is available without undue cost or effort, an entity cannot rely solely on past due information when determining whether credit risk has increased significantly since initial recognition. However, when information that is more forwardlooking than past due status (either on an individual or a collective basis) is not available without undue cost or effort, an entity may use past due information to determine whether there have been significant increases in credit risk since initial recognition. Regardless of the way in which an entity assesses significant increases in credit risk, there is a rebuttable presumption that the credit risk on a financial asset has increased significantly since initial recognition when contractual payments are more than 30 days past due. An entity can rebut this presumption if the entity has reasonable and supportable information that is available without undue cost or effort, that demonstrates that the credit risk has not increased significantly since initial recognition even though the contractual payments are more than 30 days past due. When an entity determines that there have been significant increases in credit risk before contractual payments are more than 30 days past due, the rebuttable presumption does not apply. 5.5.11</t>
  </si>
  <si>
    <t xml:space="preserve">LEX30.41, LEX30.42, LEX30.43, LEX30.44, LEX30.45, LEX30.46, LEX30.47, LEX30.48, LEX30.49, LEX30.50, LEX30.51, LEX30.52, LEX30.53</t>
  </si>
  <si>
    <t xml:space="preserve">1.2</t>
  </si>
  <si>
    <t xml:space="preserve">cfr-12-252::doc::0554</t>
  </si>
  <si>
    <t xml:space="preserve">(c)</t>
  </si>
  <si>
    <t xml:space="preserve">(c) The independence of the supervisory stress test allows stress test projections to adhere to the other key principles described in the Policy Statement. The use of independent models allows for consistent treatment across firms. Losses and revenues under stress are estimated using the same modeling assumptions for all covered companies, enabling comparisons across supervisory stress test results. Differences in covered companies' results reflect differences in firm-specific risks and input data instead of differences in modeling assumptions. The use of independent models also ensures that stress test results are produced by stress-focused models, designed to project the performance of covered companies in adverse economic conditions.</t>
  </si>
  <si>
    <t xml:space="preserve">sr-26-2-2026::doc::0004</t>
  </si>
  <si>
    <t xml:space="preserve">III. OVERVIEW OF MODEL RISK AND MODEL RISK MANAGEMENT</t>
  </si>
  <si>
    <t xml:space="preserve">III. OVERVIEW OF MODEL RISK AND MODEL RISK MANAGEMENT
Models are simplified representations of real-world relationships among observed characteristics, values, and events; they are based on assumptions that make them useful in estimating values and predicting events, but which also can have limitations and create model risk. The term 'model risk' refers to the potential for adverse financial consequences associated with models, which may result from decisions made based on model output. Model risk is influenced by a model's inherent risk, exposure, purpose, and use, each of which are discussed below.
2 For a description of the banking organizations supervised by each agency, refer to the definition of 'appropriate Federal banking agency' in section 3(q) of the Federal Deposit Insurance Act (12 U.S.C. 1813(q)).
3 Generative AI and agentic AI models are novel and rapidly evolving. As such, they are not within the scope of this guidance. Nonetheless, a banking organization's risk management and governance practices should guide the determination of appropriate governance and controls for any tools, processes, or systems not covered in this document. However, the principles described in this guidance apply to traditional statistical and quantitative models and non-generative, non-agentic AI models.
A model's inherent risk reflects several fundamental factors, such as the assumptions made in developing the model, the model's complexity, the quality of inputs for the model, and data constraints. Inherent risk increases with model complexity and the criticality or number of assumptions necessary, among other factors.
Model exposure refers to the significance of the model output to a banking organization's business decisions, which tends to be greater for models affecting larger portfolios or having a larger business impact. Model exposure can be quantitatively measured ( e.g. , by portfolio size).
Model purpose is a qualitative consideration that involves the nature and importance of the models used by banking organizations. For example, models developed to help meet regulatory requirements or manage a banking organization's financial risk exposures are generally considered to be of greater risk than models that are not used for such purposes.
Model purpose, together with model exposure, determines model materiality. Assessing risk based on model materiality is an important consideration for sound model risk management. Banking organizations may deem certain models immaterial based on model exposure and purpose. In those cases, model risk management may consist of identifying those models and monitoring model performance and conditions under which the use of those models may become material to the banking organization in the future. In contrast, models deemed of higher materiality by the banking organization-either through model exposure or purpose-warrant more comprehensive and rigorous oversight.
The overall magnitude of model risk reflects a </t>
  </si>
  <si>
    <t xml:space="preserve">Principle 2.3 Policies and procedures, Principle 2.3 Policies and procedures, Principle 2.3 Policies and procedures</t>
  </si>
  <si>
    <t xml:space="preserve">V. MODEL VALIDATION AND MONITORING</t>
  </si>
  <si>
    <t xml:space="preserve">pra-ss1-23-2023::doc::0046</t>
  </si>
  <si>
    <t xml:space="preserve">Principle 4.4 Model performance monitoring</t>
  </si>
  <si>
    <t xml:space="preserve">Principle 4.4 Model performance monitoring
a) Model performance monitoring should be performed to assess model performance against thresholds for acceptable model performance based on the model testing criteria used during the model development stage.
b) Firms should conduct ongoing model performance monitoring to:
(i) ensure that parameter estimates and model constructs are appropriate and valid;
(ii) ensure that assumptions are applicable for the model's intended use;
(iii) assess whether changes in products, exposures, activities, clients, or market conditions should be addressed through model adjustments, recalibration, or redevelopment, or by the model being replaced; and
(iv) assess whether the model has been used beyond the intended use and whether this use has delivered acceptable results.
c) A range of tests should form part of model monitoring, including those determined by model developers:
(i) benchmarking - comparing model estimates with comparable but alternative estimates;
(ii) sensitivity testing - reaffirming the robustness and stability of the model;
(iii) analysis of overrides - evaluate and analyse the performance of model adjustments made;
(iv) parallel outcomes analysis - assessing whether new data should be included in model calibration.
d) Model monitoring should be conducted on an ongoing basis with a frequency determined by the model tier.
e) Firms should produce timely and accurate model performance monitoring reports that should be independently reviewed, and the results incorporated into the procedures for measuring model performance (as per Principle 2.3(c)(vi)).</t>
  </si>
  <si>
    <t xml:space="preserve">pra-ss1-23-2023::doc::0031</t>
  </si>
  <si>
    <t xml:space="preserve">Principle 2.4 Roles and responsibilities</t>
  </si>
  <si>
    <t xml:space="preserve">Principle 2.4 Roles and responsibilities
Roles and responsibilities should be allocated to staff with appropriate skills and experience to ensure the MRM framework operates effectively.
a) Firms should clearly document the roles and responsibilities for each stage of the model lifecycle together with the requisite skills, experience and expertise required for the roles, and the degree of organisational independence and seniority required to perform the role effectively.
b) Responsibility for model performance monitoring and the reassessment of already implemented models should be clearly defined and may be undertaken by model owners, users, or developers. The adequacy of model performance monitoring is a key area of consideration by model validators.
c) Model owners should be documented for all models. Model owners are accountable for ensuring that:
(i) the model's performance is monitored against the firm's board-approved risk appetite for acceptable model performance;
(ii) the model is assigned to the correct model tier; has undergone appropriate validation in accordance with the model tier; and providing all necessary information to enable validation activities to take place;
(iii) the model is recorded in the model inventory and information about the model is accurate and up-to-date.
d) Model users should be documented for all models. Model users are accountable for ensuring that:
(i) the model use is consistent with the intended purpose;
(ii) known model limitations are taken into consideration when the output of the model is used.
e) Model developer(s) should be documented for all models. Model developers are accountable for ensuring that the research, development, evaluation, and testing of a model (including testing procedures, model selection, and documentation) are conducted according to firms' own standards.
f) Model validation should be performed by staff:
(i) that have the requisite technical expertise and sufficient familiarity with the line of business using the model, to be able to provide an objective, unbiased and critical opinion on the suitability and soundness of models for their intended use;
(ii) that have the necessary organisational standing and incentives to report model limitations and escalate material control exceptions and/or inappropriate model use in a prompt and timely manner.</t>
  </si>
  <si>
    <t xml:space="preserve">S8</t>
  </si>
  <si>
    <t xml:space="preserve">S9</t>
  </si>
  <si>
    <t xml:space="preserve">pra-ss1-23-2023::doc::0037</t>
  </si>
  <si>
    <t xml:space="preserve">Principle 3.3 Model development testing</t>
  </si>
  <si>
    <t xml:space="preserve">Principle 3.3 Model development testing
a) Model development testing should demonstrate that a model works as intended. It should include clear criteria (tests) as a basis to measure a model's quality (performance in development stage) and to select between candidate models. Model developers should provide the key outline of the monitoring pack (set of tests or criteria) that will be used to monitor a model's ongoing performance during use.
17 Data, usually unstructured and non-financial data, not typically used in financial modelling such as socialmedia feeds. The data are unstructured in the sense that they do not have a defined data model or preexisting structure.
b) Model development testing should assess model performance against the model's design objective(s) using a range of performance tests.
(i) From a backward-looking perspective, performance tests should be conducted using actual observations across a variety of economic and market conditions that are relevant for the model's intended use.
(ii) From a forward-looking perspective, performance tests should be conducted using plausible scenarios that assess the extent to which the model can take into consideration changes in economic and market conditions, as well as changes to the portfolio, products, assets, or customer base, without model performance deteriorating below acceptable levels. This should include sensitivity analysis 18 to determine the model operating boundaries under which model performance is expected to be acceptable.
(iii) Where practicable, performance tests should also include comparisons of the model output with the output of available challenger models, which are alternative implementations of the same theory, or implementations of alternative theories and assumptions. The extent to which comparisons against challenger models or other benchmarks have been conducted should be considered in the model's tier classification to reflect the higher model uncertainty.
c) Model development testing should also be conducted for material model changes,, including material changes over a period of time in dynamic models (ie models able to adapt, recalibrate, or otherwise change autonomously in response to new inputs 19 ), and should include a comparison of the model output prior to the change and the corresponding output following the change to actual observations and outcomes (ie parallel outcomes analysis).</t>
  </si>
  <si>
    <t xml:space="preserve">bcbs-d450-2018::doc::0021</t>
  </si>
  <si>
    <t xml:space="preserve">Additional points for banks:
The infrastructure capabilities of banks should be flexible enough to retrieve data for use in both internal stress tests and the bank's involvement in any bank-run supervisory stress tests. Where appropriate, banks should ensure consistency of data sources, processing, and aggregation across their stress tests. Banks should ensure the data they produce for stress testing purposes are coherent with their overall risk management framework.
Banks should also collect, quality-assure, and maintain historical data relevant for their internal stress testing frameworks. Banks should ensure that they are able to accurately integrate data associated with mergers and acquisitions with their historical data set.
The BCBS Principles for effective risk data aggregation and risk reporting 6 should guide banks in building up, revising and improving their capabilities in the use of data to enhance their ability to identify and manage bank-wide risks. In particular, banks' risk data aggregation capabilities should be (i) subject to strong governance arrangements; (ii) supported by an adequate data architecture and IT infrastructure; and (iii) capable of capturing and aggregating all material risk data across the banking group.
The infrastructure should be sufficiently flexible to allow for targeted or ad hoc stress tests in times of rapidly changing market conditions and to meet on-demand requests arising from both internal needs and externally from supervisory queries.</t>
  </si>
  <si>
    <t xml:space="preserve">bcbs-239-2013::doc::0007</t>
  </si>
  <si>
    <t xml:space="preserve">Introduction</t>
  </si>
  <si>
    <t xml:space="preserve">Introduction
1. One of the most significant lessons learned from the global financial crisis that began in 2007 was that banks' information technology (IT) and data architectures were inadequate to support the broad management of financial risks. Many banks lacked the ability to aggregate risk exposures and identify concentrations quickly and accurately at the bank group level, across business lines and between legal entities. Some banks were unable to manage their risks properly because of weak risk data aggregation capabilities and risk reporting practices. This had severe consequences to the banks themselves and to the stability of the financial system as a whole.
2. In response, the Basel Committee issued supplemental Pillar 2 (supervisory review process) guidance 1 to enhance banks' ability to identify and manage bank-wide risks. In particular, the Committee emphasised that a sound risk management system should have appropriate management information systems (MIS) 2 at the business and bank-wide level. The Basel Committee also included references to data aggregation as part of its guidance on corporate governance. 3
3. Improving banks' ability to aggregate risk data will improve their resolvability. For global systemically important banks (G-SIBs) in particular, it is essential that resolution authorities have access to aggregate risk data that complies with the FSB's Key Attributes of Effective Resolution Regimes for Financial Institutions 4 as well as the principles set out below. For recovery, a robust data framework will help banks and supervisors anticipate problems ahead. It will also improve the prospects of finding alternative options to restore financial strength and viability when the firm comes under severe stress. For example, it could improve the prospects of finding a suitable merger partner.
4. Many in the banking industry 5 recognise the benefits of improving their risk data aggregation capabilities and are working towards this goal. They see the improvements in terms of strengthening the capability and the status of the risk function to make judgements. This leads to gains in efficiency, reduced probability of losses and enhanced strategic decision-making, and ultimately increased profitability.
5. Supervisors observe that making improvements in risk data aggregation capabilities and risk reporting practices remains a challenge for banks, and supervisors would like to see
1 Basel Committee, Enhancements to the Basel II framework (July 2009) at www.bis.org/publ/bcbs158.pdf.
2 MIS in this context refers to risk management information.
3 Basel Committee, Principles for enhancing corporate governance (October 2010) at www.bis.org/publ/bcbs176.pdf.
4 Financial Stability Board, Key Attributes of Effective Resolution Regimes for Financial Institutions (October 2011) at www.financialstabilityboard.org/publications/r_111104dd.pdf.
5 See Institute of International Finance report, Risk IT and Operations: Strengthening capabil</t>
  </si>
  <si>
    <t xml:space="preserve">bcbs-d450-2018::doc::0003</t>
  </si>
  <si>
    <t xml:space="preserve">Introduction
The Basel Committee previously published stress testing principles in May 2009. 1 The 2009 principles were designed to address key weaknesses in stress testing practices that were highlighted by the global financial crisis. Since then, the role of stress testing has rapidly evolved and grown in importance in many jurisdictions. Stress testing is now a critical element of risk management for banks and a core tool for banking supervisors and macroprudential authorities. Stress testing is integral to banks' risk management and banking supervision, in that it alerts bank management and supervisory authorities to unexpected adverse outcomes arising from a wide range of risks, and provides an indication to banks and supervisory authorities of the financial resources that might be needed to absorb losses should large shocks occur.
Given the rapid evolution of stress testing in recent years, the Committee undertook a detailed review of current supervisory and bank practices in this area. 2 It was clear from this review that the stress testing frameworks that have been developed since the global financial crisis go well beyond those that were envisaged when the 2009 stress testing principles were developed. Recognising the increasing importance of stress testing, combined with a significant range of approaches adopted by supervisory authorities and banks, the Committee decided to update the 2009 stress testing principles. The resulting set of principles is set at a high level so that they may be applicable across many banks and jurisdictions, remain relevant as stress testing practices evolve over time, and be used by jurisdictions to guide all elements of a sound stress testing framework.
These principles cover sound stress testing practices 3 and are formulated with a view towards application to large, internationally active banks and to supervisory and other relevant financial authorities in Basel Committee member jurisdictions. However, smaller banks and authorities in all jurisdictions can benefit from considering in a structured way the potential impact of adverse scenarios on their business, even if they are not using a formal stress testing framework but are instead using simpler methods. These principles are therefore intended to be applied on a proportionate basis, depending on the size, complexity and risk profile of the bank or banking sector for which the authority is responsible.
These principles do not constitute Standards , for which the Basel Committee expects full implementation by all of its members and the internationally active banks that they supervise. Instead the principles are Guidelines that focus on the core elements of stress testing frameworks, 4 such as the objectives, governance, policies, processes, methodology, resources, and documentation that guide activities and facilitate their use, implementation and oversight. Nevertheless, the Basel Committee expects that, for internationally active banks, stress te</t>
  </si>
  <si>
    <t xml:space="preserve">bcbs-cap-consolidated::CAP30::0015</t>
  </si>
  <si>
    <t xml:space="preserve">Investments in own shares (treasury stock), own other capital instruments or own other TLAC liabilities</t>
  </si>
  <si>
    <t xml:space="preserve">[...]
FAQ1
If a bank acts as market-maker for its own capital instruments, is this deemed to
create any contractual obligations requiring deductions?
Not until the bank has agreed to purchase stock at an agreed price and either this offer has been accepted or cannot be withdrawn. The purpose of the rule is to capture existing contractual arrangements that could lead to the bank being required to make a purchase of its own capital instruments at a price agreed in the contract (eg a forward purchase or a written put option), such that the extent of the potential loss is known in advance. It was not intended to capture all potential contracts that a bank may enter to in the future.
Reciprocal cross-holdings in the capital or other TLAC liabilities of banking, financial and insurance entities
30.21 Reciprocal cross-holdings of capital that are designed to artificially inflate the capital position of banks will be deducted in full. Banks must apply a 'corresponding deduction approach' to such investments in the capital of other banks, other financial institutions and insurance entities. This means the deduction should be applied to the same component of capital for which the capital would qualify if it was issued by the bank itself. Reciprocal cross-holdings of other TLAC liabilities that are designed to artificially inflate the TLAC position of G-SIBs must be deducted in full from Tier 2 capital. FAQ
FAQ1 Is provision of capital support by way of guarantee or other capital enhancements treated as capital invested in financial institutions?
Yes. It is treated as capital in respect of the maximum amount that could be required to be paid out on any such guarantee.
FAQ2 Can the Basel Committee give some examples of what may be considered to be a financial institution / entity?
Guidance should be sought from national supervisors. However, examples of the type of activities that financial entities might be involved in include financial leasing, issuing credit cards, portfolio management, investment advisory, custodial and safekeeping services and other similar activities that are ancillary to the business of banking.
FAQ3 How should exposures to the capital of other financial institutions be valued for the purpose of determining the amount of to be subject to the threshold deduction treatment?
Exposures should be valued according to their valuation on the balance sheet of the bank. In this way the exposures captured represents the loss to Common Equity Tier 1 that the bank would suffer if the capital of the financial institution is written-off.
FAQ4 For capital instruments that are required to be phased out from 1 January 2013, the net amount allowed to be recognised each year onwards is determined on a portfolio basis according to CAP90.1 to CAP90.3. Regarding a bank that holds such instruments, ie the investing bank, could the Basel Committee explain how the corresponding deduction approach should be applied during the transitional phase? Fo</t>
  </si>
  <si>
    <t xml:space="preserve">Transitional arrangements for certain capital instruments</t>
  </si>
  <si>
    <t xml:space="preserve">Transitional arrangements for certain capital instruments
90.1 Capital instruments that no longer qualify as non-common equity Tier 1 or Tier 2 capital are phased out beginning 1 January 2013. Fixing the base at the nominal amount of such instruments outstanding on 1 January 2013, their recognition is capped at 90% from 1 January 2013, with the cap reducing by 10 percentage points in each subsequent year.
90.2 This cap is applied to Additional Tier 1 and Tier 2 separately and refers to the total amount of instruments outstanding that no longer meet the relevant entry criteria. To the extent an instrument is redeemed, or its recognition in capital is amortised, after 1 January 2013, the nominal amount serving as the base is not reduced. FAQ
FAQ1 If a Tier 2 instrument eligible for transitional arrangements begins its final five-year amortisation period prior to 1 January 2013, does it carry on amortising at a rate of 20% per annum after 1 January 2013?
Individual instruments continue to be amortised at a rate of 20% per year while the aggregate cap is reduced at a rate of 10% per year.
FAQ2
Can ineligible Tier 1 instruments be 'cascaded' into Tier 2 and, if so, can a firm elect to do this at 1 January 2013 or a later date?
CAP90.1 states that, 'Capital instruments that no longer qualify as non-common equity Tier 1 capital or Tier 2 capital are phased out beginning 1 January 2013. Fixing the base at the nominal amount of such instruments outstanding on 1 January 2013, their recognition is capped at 90% from 1 January 2013, with the cap reducing by 10 percentage points in each subsequent year.' This rule does not prohibit instruments, in whole or in part, that exceed the cap on recognition in Additional Tier 1 being reallocated to Tier 2 if they meet all of the criteria for inclusion in Tier 2 that apply from 1 January 2013. Any reallocation will have no effect on the calculation of the cap itself. This means that instruments that are phased out of Additional Tier 1 and do not meet the point-of-non-viability requirements in CAP10.11(16) will not be permitted to be 'cascaded' into Tier 2, as Tier 2 is required to meet the point-of-non-viability requirements in CAP10.16(10).
FAQ3 Some Tier 1 and Tier 2 instruments were not eligible to be recognised as such under Basel II because they exceeded the relevant limits for recognition (eg 15% innovative limit or Tier 2 limit). Can amounts that exceeded these limits be included in the base for the transitional arrangements established in CAP90.1 and CAP90.2?
No. The base for the transitional arrangements should reflect the outstanding amount that is eligible to be included in the relevant tier of capital under the national rules applied on 31 December 2012.
FAQ4 If a Tier 2 instrument eligible for grandfathering begins its final five-year amortisation period prior to 1 January 2013, is the full nominal amount or the amortised amount used in fixing the base for transitional arrangements?
For Tier 2 </t>
  </si>
  <si>
    <t xml:space="preserve">bcbs-pap-d403::doc::0041</t>
  </si>
  <si>
    <t xml:space="preserve">Drivers for determining NPLs in supervisory regulations</t>
  </si>
  <si>
    <t xml:space="preserve">Drivers for determining NPLs in supervisory regulations
100. The 23 jurisdictions with a definition of NPL fall into two categories:
· The majority of jurisdictions identify loans as NPLs based on qualitative considerations supplemented by a quantitative backstop, generally 90 DPD, but sometimes 180 DPD. There is no need for the past-due threshold to be hit for a loan to be identified as an NPL, but all loans beyond the past-due threshold are NPLs.
· In a minority of jurisdictions, only objective criteria (more than 90 DPD) seem to be used to identify NPLs.
101. Regarding the objective criterion, there is broad convergence towards the use of a 90 DPD threshold for all types of exposure (retail and commercial). Nevertheless, a deeper analysis of the definitions in different jurisdictions reveals that:
· Different DPD thresholds can be applied to some exposures due to their nature (secured, unsecured, amortising loans, collateral status or type).
· The DPD threshold is not expressed in the same way in all jurisdictions: it can be 90 days or more, more than 90 days or three months.
· The definition of past due can vary. Most jurisdictions specify that the DPD threshold consists of late payment of principal or interest, but others also include fees/commissions in the past-due cash flows. Finally, some jurisdictions define a full payment equivalent to 90% or more of the contractual payment for consumer instalment loans.
· The methodology of counting DPD can vary between jurisdictions due to the allocation of partial repayment (first-in-first-out or last-in-first-out) and the interaction with the materiality threshold (only the EU definition of NPL clearly refers to a materiality threshold, but materiality thresholds may be required or implemented by banks in jurisdictions where there are overlaps between the definitions of NPL and default in the Basel framework). 22
22 The Basel definition of default under the IRB approach (paragraph 452) refers to a more than 90 DPD threshold 'on any material credit obligation'. There is no such reference to materiality for past due loans (the unsecured portion of more than 90 DPD loans) under the Standardised Approach (paragraph 75).
102. As regards the subjective criterion, the different frameworks provide for a broad range of qualitative indicators, although almost all refer to financial difficulty of a borrower leading to a risk of non-payment. Nevertheless, jurisdictions use a variety of terms to describe the concept of financial difficulty:
· Unlikeliness to pay may be appreciated without taking the collateral into consideration (EU jurisdictions) or as regards the ability to fully repay the principal and interest.
· The full repayment of principal or interest can be highly questionable and improbable based on facts, conditions or values, or improbable due to a considerably weakened or seriously weakened situation, or there can be a considerable risk of financial loss.
· There can be significant de</t>
  </si>
  <si>
    <t xml:space="preserve">ifrs9-extract::doc::0028</t>
  </si>
  <si>
    <t xml:space="preserve">7.3 Withdrawal of IFRIC 9, IFRS 9 (2009), IFRS 9 (2010) and IFRS 9 (2013), 7.3 Withdrawal of IFRIC 9, IFRS 9 (2009), IFRS 9 (2010) and IFRS 9 (2013)</t>
  </si>
  <si>
    <t xml:space="preserve">7.3 Withdrawal of IFRIC 9, IFRS 9 (2009), IFRS 9 (2010) and IFRS 9 (2013)
This Standard supersedes IFRIC 9 Reassessment of Embedded Derivatives . The requirements added to IFRS 9 in October 2010 incorporated the requirements previously set out in paragraphs 5 and 7 of IFRIC 9. As a consequential amendment, IFRS 1 First-time Adoption of International Financial Reporting Standards incorporated the requirements previously set out in paragraph 8 of IFRIC 9. 7.3.1
This Standard supersedes IFRS 9 (2009), IFRS 9 (2010) and IFRS 9 (2013). However, for annual periods beginning before 1 January 2018, an entity may elect to apply those earlier versions of IFRS 9 instead of applying this Standard if, and only if, the entity's relevant date of initial application is before 1 February 2015. 7.3.2</t>
  </si>
  <si>
    <t xml:space="preserve">· Level of application :</t>
  </si>
  <si>
    <t xml:space="preserve">sr-15-19-2015r2021::doc::0003</t>
  </si>
  <si>
    <t xml:space="preserve">III. Capital Planning Expectations</t>
  </si>
  <si>
    <t xml:space="preserve">III. Capital Planning Expectations
Capital is central to a firm's ability to absorb unexpected losses and continue to lend to creditworthy businesses and consumers. A firm's capital planning processes are critical to its financial strength and resiliency.
SR letter 12-17/CA letter 12-14, 'Consolidated Supervision Framework for Large Financial Institutions,' outlines core expectations for sound capital planning for bank holding companies with total consolidated assets of $50 billion or more. This capital planning and positions guidance provides additional details around the Federal Reserve's core capital planning expectations for firms subject to Category II or III standards, building on the capital planning requirements included in the capital plan rule and the Board's stress test rules. 8 A firm should maintain a sound capital planning process on an ongoing basis, including in between submissions of its annual capital plan. 9</t>
  </si>
  <si>
    <t xml:space="preserve">sr-15-18-2015r2021::doc::0012</t>
  </si>
  <si>
    <t xml:space="preserve">III. Capital Planning Expectations
Capital is central to a firm's ability to absorb unexpected losses and continue to lend to creditworthy businesses and consumers. A firm's capital planning processes are critical to its financial strength and resiliency. At firms subject to Category I standards, sound capital planning is also critical to the stability and effective functioning of the U.S. financial system.
SR letter 12-17/CA letter 12-14, 'Consolidated Supervision Framework for Large Financial Institutions,' outlines core expectations for sound capital planning for bank holding companies with total consolidated assets of $50 billion or more. This capital planning and positions guidance provides additional details around the Federal Reserve's core capital planning expectations for firms subject to Category I standards and firms subject to Category II or III standards, building on the capital planning requirements included in the capital plan rule and the Board's stress test rules. 6 A firm should maintain a sound capital planning process on an ongoing basis, including in between submissions of its annual capital plan. 7</t>
  </si>
  <si>
    <t xml:space="preserve">bcbs-239-2013::doc::0036</t>
  </si>
  <si>
    <t xml:space="preserve">Principle 1</t>
  </si>
  <si>
    <t xml:space="preserve">Principle 1
Governance - A bank's risk data aggregation capabilities and risk reporting practices should be subject to strong governance arrangements consistent with other principles and guidance established by the Basel Committee. 22</t>
  </si>
  <si>
    <t xml:space="preserve">21</t>
  </si>
  <si>
    <t xml:space="preserve">[...]
15. It is strongly suggested that national supervisors also apply these Principles to banks identified as D-SIBs by their national supervisors three years after their designation as D-SIBs. 11
16. The Principles and supervisory expectations contained in this paper apply to a bank's risk management data. This includes data that is critical to enabling the bank to manage the risks it faces. Risk data and reports should provide management with the ability to monitor and track risks relative to the bank's risk tolerance/appetite.
17. These Principles also apply to all key internal risk management models, including but not limited to, Pillar 1 regulatory capital models (eg internal ratings-based approaches for credit risk and advanced measurement approaches for operational risk), Pillar 2 capital models and other key risk management models (eg value-at-risk).
18. The Principles apply to a bank's group risk management processes. However, banks may also benefit from applying the Principles to other processes, such as financial and operational processes, as well as supervisory reporting.
19. All the Principles included in this paper are also applicable to processes that have been outsourced to third parties.
20. The Principles cover four closely related topics:
· Overarching governance and infrastructure
· Risk data aggregation capabilities
· Risk reporting practices
· Supervisory review, tools and cooperation
21. Risk data aggregation capabilities and risk reporting practices are considered separately in this paper, but they are clearly inter-linked and cannot exist in isolation. High quality risk management reports rely on the existence of strong risk data aggregation
8 See the FSB, Policy Measures to Address to Systemically Important Financial Institutions (4 November 2011) at www.financialstabilityboard.org/publications/r_111104bb.pdf
9 See the FSB, Update of group of global systemically important banks - G-SIBs (1 November 2012) at www.financialstabilityboard.org/publications/r_121031ac.pdf
10 This is in line with the FSB's Update of group of global systemically important banks - G-SIBs (1 November 2012).
11 See Basel Committee, A framework for dealing with domestic systemically important banks (October 2012) at www.bis.org/publ/bcbs233.pdf
capabilities, and sound infrastructure and governance ensures the information flow from one to the other.
22. Banks should meet all risk data aggregation and risk reporting principles simultaneously. However, trade-offs among Principles could be accepted in exceptional circumstances such as urgent/ad hoc requests of information on new or unknown areas of risk. There should be no trade-offs that materially impact risk management decisions. Decision-makers at banks, in particular the board and senior management, should be aware of these trade-offs and the limitations or shortcomings associated with them.
Supervisors expect banks to have policies and processes in place regarding the applicati</t>
  </si>
  <si>
    <t xml:space="preserve">85</t>
  </si>
  <si>
    <t xml:space="preserve">cfr-12-252::doc::0435</t>
  </si>
  <si>
    <t xml:space="preserve">(iii)</t>
  </si>
  <si>
    <t xml:space="preserve">[...]
(B) The application of the look-through approach described in paragraph (b) of this section.
(ii) With respect to the determination required under paragraph (a)(3)(i) of this section, a covered foreign entity must use the same method to calculate gross credit exposure to each issuer of assets in a particular SPV.
(4)
(iii) In making a determination under paragraph (a)(3)(i) of this section, the covered foreign entity must consider only the credit exposure to the issuer arising from the covered foreign entity's SPV exposure.
(iv) For purposes of this paragraph (a)(3), a covered foreign entity that is unable to identify each issuer of assets in an SPV must attribute to a single unknown counterparty the amount of its gross credit exposure to all unidentified issuers and calculate such gross credit exposure using one method in either paragraph (a)(3)(i)(A) or (B) of this section.
(i) If a covered foreign entity determines pursuant to paragraph (a)(3) of this section that the amount of its gross credit exposure to an issuer of assets in an SPV is less than 0.25 percent of the covered foreign entity's tier 1 capital, the amount of the covered foreign entity's gross credit exposure to that issuer may be attributed to either that issuer of assets or the SPV:
(A) If attributed to the issuer of assets, the issuer of assets must be identified as a counterparty, and the gross credit exposure calculated under paragraph (a)(3)(i)(A) of this section to that issuer of assets must be aggregated with any other gross credit exposures (valued in accordance with § 252.173) to that same counterparty; and
(B) If attributed to the SPV, the covered foreign entity's gross credit exposure is equal to the covered foreign entity's SPV exposure, valued in accordance with § 252.173(a).
(ii) If a covered foreign entity determines pursuant to paragraph (a)(3) of this section that the amount of its gross credit exposure to an issuer of assets in an SPV is equal to or greater than 0.25 percent of the covered foreign entity's tier 1 capital or the covered foreign entity is unable to determine that the amount of the gross credit exposure is less than 0.25 percent of the covered foreign entity's tier 1 capital:
(A) The covered foreign entity must calculate the amount of its gross credit exposure to the issuer of assets in the SPV using the look-through approach in paragraph (b) of this section;
(B) The issuer of assets in the SPV must be identified as a counterparty, and the gross credit exposure calculated in accordance with paragraph (b) must be aggregated with any other gross credit exposures (valued in accordance with § 252.173) to that same counterparty; and
(C) When applying the look-through approach in paragraph (b) of this section, a covered foreign entity that is unable to identify each issuer of assets in an SPV must attribute to a single unknown counterparty the amount of its gross credit exposure, calculated in accordance with paragraph (b) of this secti</t>
  </si>
  <si>
    <t xml:space="preserve">LEX10.9, LEX10.10, LEX10.11, LEX10.12, LEX10.13, LEX10.14, LEX10.15, LEX10.16</t>
  </si>
  <si>
    <t xml:space="preserve">[...]
· The bank considers that the obligor is unlikely to pay its credit obligations to the banking group in full, without recourse by the bank to actions such as realising security (if held).
· The obligor is past due more than 90 days on any material credit obligation to the banking group (footnote 89). Overdrafts will be considered as being past due once the customer has breached an advised limit or been advised of a limit smaller than current outstandings.
· (footnote 89) In the case of retail and public sector entities obligations, for the 90-day figure, a supervisor may substitute a figure of up to 180 days for different products, as it considers appropriate to local conditions. In one member country, local conditions make it appropriate to use a figure of up to 180 days also for lending by its banks to corporates; this applies for a transitional period of five years.
7 In particular, when the accounting framework is IFRS 9, 'impaired exposures' are those that are considered 'credit-impaired' in the meaning of IFRS 9 Appendix A. When the accounting framework is US GAAP, 'impaired exposures' are those exposures for which credit losses are measured under ASC Topic 326 and for which the bank has recorded a partial write-off.
8 Under IFRS 9, the identification of an exposure as non-performing does not necessarily have an effect on the impairment stage in which this exposure is allocated for accounting purposes. Under the US GAAP Current Expected Credit Loss model, the identification of an exposure as non-performing is not intended to affect the estimation of credit losses.
borrower's economic incentive (both positive and negative) to repay under the unlikeliness to repay criteria. Any recourse by the bank shall not be considered in this judgment. The collateralisation or guarantee status does not influence the past-due status, including the counting of past-due days and the determination of the exposure as non-performing, once the materiality and overdue days threshold have been met. When the relevant criteria are met, an exposure should be categorised as nonperforming even if the collateral value exceeds the amount of the past-due exposure.
28. A counterparty is a natural or legal person to which a bank has exposure. When a material exposure to a counterparty is categorised as non-performing, all exposures to that counterparty should be categorised as non-performing. However, for retail exposures as defined in the Basel II standard, exposures can be categorised as non-performing on a transaction-by-transaction basis. In these cases, banks should consider the categorisation status of other exposures to the same counterparty, except in the rare circumstances when this information is not available.
29. When applied, the debtor approach applies at the level of a single counterparty. When a counterparty belongs to a group, designating an exposure to one entity belonging to a group as nonperforming does not mandatorily lead to designating a</t>
  </si>
  <si>
    <t xml:space="preserve">cfr-12-252::doc::0233</t>
  </si>
  <si>
    <t xml:space="preserve">[...]
(iii) In making a determination under paragraph (a)(2)(i) of this section, the covered company must consider only the credit exposure to the issuer arising from the covered company's SPV exposure.
(iv) For purposes of this paragraph (a)(2), a covered company that is unable to identify each issuer of assets in an SPV must attribute to a single unknown counterparty the amount of its gross credit exposure to all unidentified issuers and calculate such gross credit exposure using one method in either paragraph (a)(2)(i)(A) or (a)(2)(i)(B) of this section.
(i) If a covered company determines pursuant to paragraph (a)(2) of this section that the amount of its gross credit exposure to an issuer of assets in an SPV is less than 0.25 percent of the covered company's tier 1 capital, the amount of the covered company's gross credit exposure to that issuer may be attributed to either that issuer of assets or the SPV:
(A) If attributed to the issuer of assets, the issuer of assets must be identified as a counterparty, and the gross credit exposure calculated under paragraph (a)(2)(i)(A) of this section to that issuer of assets must be aggregated with any other gross credit exposures (valued in accordance with § 252.73) to that same counterparty; and
(B) If attributed to the SPV, the covered company's gross credit exposure is equal to the covered company's SPV exposure, valued in accordance with § 252.73(a).
(ii) If a covered company determines pursuant to paragraph (a)(2) of this section that the amount of its gross credit exposure to an issuer of assets in an SPV is equal to or greater than 0.25 percent of the covered company's tier 1 capital or the covered company is unable to determine that the amount of the gross credit exposure is less than 0.25 percent of the covered company's tier 1 capital:
(A) The covered company must calculate the amount of its gross credit exposure to the issuer of assets in the SPV using the look-through approach in paragraph (b) of this section;
(B) The issuer of assets in the SPV must be identified as a counterparty, and the gross credit exposure calculated in accordance with paragraph (b) must be aggregated with any other gross credit exposures (valued in accordance with § 252.73) to that same counterparty; and
(C) When applying the look-through approach in paragraph (b) of this section, a covered company that is unable to identify each issuer of assets in an SPV must attribute to a single unknown counterparty the amount of its gross credit exposure, calculated in accordance with paragraph (b) of this section, to all unidentified issuers.
(iii) For purposes of this section, a covered company must aggregate all gross credit exposures to unknown counterparties for all SPVs as if the exposures related to a single unknown counterparty; this single unknown counterparty is subject to the limits of § 252.72 as if it were a single counterparty.
(b) Look-through approach. A covered company that is required to calculate </t>
  </si>
  <si>
    <t xml:space="preserve">pra-ss1-23-2023::doc::0044</t>
  </si>
  <si>
    <t xml:space="preserve">Principle 4.2 Independent review</t>
  </si>
  <si>
    <t xml:space="preserve">Principle 4.2 Independent review
a) All models should be subject to an independent review to ensure that models are suitable for their intended use. The independent review should:
(i) cover all model components, including model inputs, calculations, and reporting outputs;
(ii) assess the conceptual soundness of the underlying theory of the model, and the suitability of the model for its intended use;
(iii) critically analyse the quality and extent of model development evidence, including the relevance and completeness of the data used to develop the model with respect to the underlying portfolios, products, assets, or customer base the model is intended to be used for;
(iv) evaluate qualitative information and judgements used in model development, and ensure those judgements have been conducted in an appropriate and systematic manner, and are supported by appropriate documentation; and
(v) conduct additional testing and analysis as necessary to enable potential model limitations to be identified and addressed on a timely basis, and to review the developmental evidence of the sensitivity analysis conducted by model developers to confirm the impact of key assumptions made in the development process and choice of variables made during the model selection stage on the model outputs.
b) The nature and extent of independent review should be determined by the model tier and, where the validation regards a model change, commensurate to the materiality of the model change.</t>
  </si>
  <si>
    <t xml:space="preserve">sr-15-18-2015r2021::doc::0051</t>
  </si>
  <si>
    <t xml:space="preserve">1. Process for Applying Overlays</t>
  </si>
  <si>
    <t xml:space="preserve">1. Process for Applying Overlays
A firm should establish a consistent firm-wide process for applying model overlays and for controls around model overlays. The process can vary by model type and portfolio, but should contain some key elements, as described below. This process should be outlined in the firm's policies and procedures and include a specific exception process for the use of overlays that do not follow the firm's standards. As part of model development, implementation and use, overlays should be well documented, supported and communicated to senior management. Model overlays should be applied in an appropriate, systematic, and transparent manner. Model results should also be reported to senior management with and without overlay adjustments.
23 For the purposes of this appendix, the term 'overlays' will be used to cover overrides, overlays, or other adjustments applied to model output. Firms should follow expectations set forth in SR letter 11-7, 'Supervisory Guidance on Model Risk Management,' relating to overlays.
24 Expectations for the use of judgment within model development is discussed in Appendix A, 'Use of Models and Other Estimation Approaches.'
25 Firms may choose to apply overall capital buffers as an additional conservative measure, beyond overlays applied at the model level. Overall capital buffers should be subject to the same governance processes applicable to model overlays, as described in section 2 of this appendix. However, supervisors emphasize that having such a buffer should not in any way replace sound model risk management practices for overlays at the individual model level or address the need for the overlay at the individual model level.
Model overlays (including those based solely on expert or management judgment) should be subject to validation or some other type of effective challenge. 26 Consistent with the materiality principle in SR 11-7, the intensity of model risk management for overlays should be a function of the materiality of the model and overlay. Effective challenge should occur before the model overlay is formally applied, not on an ex-post basis.
Validation or other type of effective challenge of model overlays may differ from quantitative model validation. Staff responsible for effective challenge should not also be setting the overlay itself or providing significant input to the level or type of overlay. For example, a committee that develops an overlay should not also be responsible for the effective challenge of the overlay. In addition, staff engaging in the effective challenge of model overlays should meet supervisory expectations relating to incentives, competence, and influence (as outlined in SR 11-7). Staff conducting effective challenge should confirm that model overlays are sufficiently conservative to compensate for model limitations and associated uncertainties in model estimates. Sensitivity analysis should be used to help quantify the overlay.</t>
  </si>
  <si>
    <t xml:space="preserve">sr-15-19-2015r2021::doc::0039</t>
  </si>
  <si>
    <t xml:space="preserve">1. Process for Applying Overlays
A firm should establish a consistent firm-wide process for applying model overlays and for controls around model overlays. The process can vary by model type and portfolio, but should contain some key elements, as described below. This process should be outlined in the firm's policies and procedures and include a specific exception process for the use of overlays that do not follow the firm's standards. As part of model development, implementation and use, overlays for material portfolios and business lines should be well documented, supported and communicated to senior management. Model overlays should be applied in an appropriate, systematic, and transparent manner. Model results should also be reported to senior management with and without overlay adjustments.
Model overlays (including those based solely on expert or management judgment) should be subject to validation or some other type of effective challenge. 28 Consistent with the materiality principle in SR 11-7, the intensity of model risk management for overlays should be a function of the materiality of the model and overlay. A firm should make efforts to conduct effective challenge of its material overlays prior to their use in capital planning. If such
- For the purposes of this appendix, the term 'overlays' will be used to cover overrides, overlays, or other adjustments applied to model output. Firms should follow expectations set forth in SR letter 11-7, 'Supervisory Guidance on Model Risk Management,' relating to overlays. End of Footnote 25 .]
- Expectations for the use of judgment within model development is discussed in Appendix A, 'Use of Models and Other Estimation Approaches.' End of Footnote 26 .]
- Firms may choose to apply overall capital buffers as an additional conservative measure, beyond overlays applied at the model level. Overall capital buffers should be subject to the same governance processes applicable to model overlays, as described in section 2 of this appendix. However, supervisors emphasize that having such a buffer should not in any way replace sound model risk management practices for overlays at the individual model level or address the need for the overlay at the individual model level. End of Footnote 27 .]
- The term 'effective challenge' means critical review by objective, informed parties who have the proper incentives, competence, and influence to challenge the model and its results. End of Footnote 28 .]
validation or effective challenge is not possible, those instances should be made transparent to users of the model and overlay.
Validation or other type of effective challenge of model overlays may differ from quantitative model validation. Staff responsible for effective challenge should not also be setting the overlay itself or providing significant input to the level or type of overlay. For example, a committee that develops an overlay should not also be responsible for the effective challenge of the over</t>
  </si>
  <si>
    <t xml:space="preserve">pra-ss1-23-2023::doc::0038</t>
  </si>
  <si>
    <t xml:space="preserve">Principle 3.4 Model adjustments and expert judgement</t>
  </si>
  <si>
    <t xml:space="preserve">Principle 3.4 Model adjustments and expert judgement
a) Firms should be able to demonstrate that risks relating to model limitations and model uncertainties 20 are adequately understood, monitored, and managed, including through the use of expert judgement.
18 Evaluating a model's output over a range of input values or parameters.
19 Including where parameters and/or hyperparameters are automatically recalculated over time.
20 Model uncertainty should be understood as the inherent uncertainty in the parameter estimates and results of statistical models, including the uncertainty in the results due to model choices or model misuse.
b) The model development process should consider the need to use expert judgement to make model adjustments that modify any part of a model (input, assumptions, methodology, or output) to address model limitations.
c) Where the model development process identifies a need for such model adjustments, the adjustments should be adequately justified and clearly recorded in the model inventory. The model inventory should record the decisions taken relating to the reasons for model adjustments, and how the adjustments should be calculated over time. The implementation of those decisions should be appropriately documented and subject to proper governance, including ongoing independent validation.
d) Where such adjustments are made either to a feeder model whose output is the input of another model or to a sub-model of a system of models, the impact of those adjustments on related models should also be assessed and the relevant model owners and users should be made aware of the potential impact of those adjustments. Where the adjustment is material, it should be the subject of the independent validation process of both models.
e) Where firms use conservatism to address model uncertainties, it should be intuitive from a business and economic perspective, adequately justified and supported by appropriate documentation, and should be consistent with the model's design objectives.
f) Model owners or developers should be able to demonstrate a clear link between model limitations and the reasons for model adjustments, and be responsible for developing and implementing clear remediation plans to address the model limitations.
g) Firms should have a process to consider whether the materiality of model adjustments or a trend of use of recurring model adjustments for the same model limitations are indicative of flawed model design or misspecification in the model construct, and consider the need for remedial actions to the extent of model recalibration or redevelopment.</t>
  </si>
  <si>
    <t xml:space="preserve">pra-ss1-23-2023::doc::0039</t>
  </si>
  <si>
    <t xml:space="preserve">Principle 3.5 Model development documentation</t>
  </si>
  <si>
    <t xml:space="preserve">Principle 3.5 Model development documentation
a) Firms should have comprehensive, and up-to-date documentation on the design, theory, and logic underlying the development of their models. Model development documentation should be sufficiently detailed so that an independent third party with the relevant expertise would be able to understand how the model operates, to identify the key model assumptions and limitations, and to replicate any parameter estimation
and model results. Firms should ensure the level of detail in the documentation of third-party vendor models is sufficient to validate the firm's use of the model.</t>
  </si>
  <si>
    <t xml:space="preserve">2. Stress testing frameworks should include an effective governance structure, 2. Stress testing frameworks should include an effective governance structure</t>
  </si>
  <si>
    <t xml:space="preserve">cfr-12-252::doc::0156</t>
  </si>
  <si>
    <t xml:space="preserve">(c)(2)</t>
  </si>
  <si>
    <t xml:space="preserve">(c) Controls and oversight of stress testing processes -
(1) In general. The senior management of a covered company must establish and maintain a system of controls, oversight, and documentation, including policies and procedures, that are designed to ensure that its stress testing processes are effective in meeting the requirements in this subpart. These policies and procedures must, at a minimum, describe the covered company's stress testing practices and methodologies, and processes for validating and updating the company's stress test practices and methodologies consistent with applicable laws and regulations.
(2) Oversight of stress testing processes. The board of directors, or a committee thereof, of a covered company must review and approve the policies and procedures of the stress testing processes as frequently as economic conditions or the condition of the covered company may warrant, but no less than each year a stress test is conducted. The board of directors and senior management of the covered company must receive a summary of the results of any stress test conducted under this subpart.
(3) Role of stress testing results. The board of directors and senior management of each covered company must consider the results of the analysis it conducts under this subpart, as appropriate:
(i) As part of the covered company's capital plan and capital planning process, including when making changes to the covered company's capital structure (including the level and composition of capital);
(ii) When assessing the covered company's exposures, concentrations, and risk positions; and
(iii) In the development or implementation of any plans of the covered company for recovery or resolution.
[Reg. YY, 79 FR 64051, Oct. 27, 2014, as amended at 80 FR 75426, Dec. 2, 2015; 84 FR 4246, Feb. 14, 2019; 84 FR 59109, Nov. 1, 2019; 85 FR 15605, Mar. 18, 2020; 86 FR 7949, Feb. 3, 2021]</t>
  </si>
  <si>
    <t xml:space="preserve">20</t>
  </si>
  <si>
    <t xml:space="preserve">Scope and initial considerations
13. These Principles are initially addressed to SIBs and apply at both the banking group and on a solo basis. Common and clearly stated supervisory expectations regarding risk data aggregation and risk reporting are necessary for these institutions. National supervisors may
7 'Risk appetite is the level and type of risk a firm is able and willing to assume in its exposures and business activities, given its business objectives and obligations to stakeholders' as defined by the Senior Supervisors Group report, Observations on Developments in Risk Appetite Frameworks and IT Infrastructure ( December 2010).
nevertheless choose to apply the Principles to a wider range of banks, in a way that is proportionate to the size, nature and complexity of these banks' operations.
14. Banks identified as G-SIBs by the FSB in November 2011 8 or November 2012 9 must meet these Principles by January 2016; G-SIBs designated in subsequent annual updates will need to meet the Principles within three years of their designation. 10 G-SIBs subject to the 2016 timeline are expected to start making progress towards effectively implementing the Principles from early 2013. National supervisors and the Basel Committee will monitor and assess this progress in accordance with section V of this document.
15. It is strongly suggested that national supervisors also apply these Principles to banks identified as D-SIBs by their national supervisors three years after their designation as D-SIBs. 11
16. The Principles and supervisory expectations contained in this paper apply to a bank's risk management data. This includes data that is critical to enabling the bank to manage the risks it faces. Risk data and reports should provide management with the ability to monitor and track risks relative to the bank's risk tolerance/appetite.
17. These Principles also apply to all key internal risk management models, including but not limited to, Pillar 1 regulatory capital models (eg internal ratings-based approaches for credit risk and advanced measurement approaches for operational risk), Pillar 2 capital models and other key risk management models (eg value-at-risk).
18. The Principles apply to a bank's group risk management processes. However, banks may also benefit from applying the Principles to other processes, such as financial and operational processes, as well as supervisory reporting.
19. All the Principles included in this paper are also applicable to processes that have been outsourced to third parties.
20. The Principles cover four closely related topics:
· Overarching governance and infrastructure
· Risk data aggregation capabilities
· Risk reporting practices
· Supervisory review, tools and cooperation
21. Risk data aggregation capabilities and risk reporting practices are considered separately in this paper, but they are clearly inter-linked and cannot exist in isolation. High quality risk management reports rely on the existence</t>
  </si>
  <si>
    <t xml:space="preserve">sr-11-7-2011::doc::0011</t>
  </si>
  <si>
    <t xml:space="preserve">Key Elements of Comprehensive Validation</t>
  </si>
  <si>
    <t xml:space="preserve">Key Elements of Comprehensive Validation
An effective validation framework should include three core elements:
· Evaluation of conceptual soundness, including developmental evidence
· Ongoing monitoring, including process verification and benchmarking
· Outcomes analysis, including back-testing</t>
  </si>
  <si>
    <t xml:space="preserve">sr-11-7-2011::doc::0014</t>
  </si>
  <si>
    <t xml:space="preserve">3. Outcomes Analysis</t>
  </si>
  <si>
    <t xml:space="preserve">3. Outcomes Analysis
The third core element of the validation process is outcomes analysis, a comparison of model outputs to corresponding actual outcomes. The precise nature of the comparison depends on the objectives of a model, and might include an assessment of the accuracy of estimates or forecasts, an evaluation of rank-ordering ability, or other appropriate tests. In all cases, such comparisons help to evaluate model performance, by establishing expected ranges for those actual outcomes in relation to the intended objectives and assessing the reasons for observed variation between the two. If outcomes analysis produces evidence of poor performance, the bank should take action to address those issues. Outcomes analysis typically relies on statistical tests or other quantitative measures. It can also [Page Break]
include expert judgment to check the intuition behind the outcomes and confirm that the results make sense. When a model itself relies on expert judgment, quantitative outcomes analysis helps to evaluate the quality of that judgment. Outcomes analysis should be conducted on an ongoing basis to test whether the model continues to perform in line with design objectives and business uses.
A variety of quantitative and qualitative testing and analytical techniques can be used in outcomes analysis. The choice of technique should be based on the model's methodology, its complexity, data availability, and the magnitude of potential model risk to the bank. Outcomes analysis should involve a range of tests because any individual test will have weaknesses. For example, some tests are better at checking a model's ability to rank-order or segment observations on a relative basis, whereas others are better at checking absolute forecast accuracy. Tests should be designed for each situation, as not all will be effective or feasible in every circumstance, and attention should be paid to choosing the appropriate type of outcomes analysis for a particular model.
Models are regularly adjusted to take into account new data or techniques, or because of deterioration in performance. Parallel outcomes analysis, under which both the original and adjusted models' forecasts are tested against realized outcomes, provides an important test of such model adjustments. If the adjusted model does not outperform the original model, developers, users, and reviewers should realize that additional changesor even a wholesale redesign-are likely necessary before the adjusted model replaces the original one.
Back-testing is one form of outcomes analysis; specifically, it involves the comparison of actual outcomes with model forecasts during a sample time period not used in model development and at an observation frequency that matches the forecast horizon or performance window of the model. The comparison is generally done using expected ranges or statistical confidence intervals around the model forecasts. When outcomes fall outside those intervals, the bank should</t>
  </si>
  <si>
    <t xml:space="preserve">Principle 5.3 Exceptions and escalations, Principle 5.3 Exceptions and escalations</t>
  </si>
  <si>
    <t xml:space="preserve">The 10 questions the gate would stop — RECORDED, NOT ENFORCED. answer() does not call the gate, so these scored normally here; a user asking them through ask.py gets the gate's message instead of an answer.</t>
  </si>
  <si>
    <t xml:space="preserve">Questions with context_recall &lt; 1.00 — 19 of 48. Sorted worst first. Red = below 0.50, or the expected document was not served.</t>
  </si>
  <si>
    <t xml:space="preserve">literal misses</t>
  </si>
  <si>
    <t xml:space="preserve">8.0%</t>
  </si>
  <si>
    <t xml:space="preserve">15%</t>
  </si>
  <si>
    <t xml:space="preserve">All model components, vendors</t>
  </si>
  <si>
    <t xml:space="preserve">tiering</t>
  </si>
  <si>
    <t xml:space="preserve">strong governance arrangements, largely automated, timely manner</t>
  </si>
  <si>
    <t xml:space="preserve">4.5%</t>
  </si>
  <si>
    <t xml:space="preserve">largely automated</t>
  </si>
  <si>
    <t xml:space="preserve">clear, comprehensive and documented</t>
  </si>
  <si>
    <t xml:space="preserve">common shares</t>
  </si>
  <si>
    <t xml:space="preserve">30 days past due, 90 days past due</t>
  </si>
</sst>
</file>

<file path=xl/styles.xml><?xml version="1.0" encoding="utf-8"?>
<styleSheet xmlns="http://schemas.openxmlformats.org/spreadsheetml/2006/main">
  <numFmts count="5">
    <numFmt numFmtId="164" formatCode="General"/>
    <numFmt numFmtId="165" formatCode="0"/>
    <numFmt numFmtId="166" formatCode="0.000"/>
    <numFmt numFmtId="167" formatCode="0.00"/>
    <numFmt numFmtId="168" formatCode="0.0"/>
  </numFmts>
  <fonts count="6">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s>
  <fills count="3">
    <fill>
      <patternFill patternType="none"/>
    </fill>
    <fill>
      <patternFill patternType="gray125"/>
    </fill>
    <fill>
      <patternFill patternType="solid">
        <fgColor rgb="FFF2F2F2"/>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8"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F2F2F2"/>
          <bgColor rgb="FF000000"/>
        </patternFill>
      </fill>
    </dxf>
    <dxf>
      <fill>
        <patternFill patternType="solid">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4" min="3" style="0" width="16"/>
  </cols>
  <sheetData>
    <row r="1" customFormat="false" ht="15" hidden="false" customHeight="false" outlineLevel="0" collapsed="false">
      <c r="A1" s="1" t="s">
        <v>0</v>
      </c>
    </row>
    <row r="3" customFormat="false" ht="15" hidden="false" customHeight="false" outlineLevel="0" collapsed="false">
      <c r="A3" s="1" t="s">
        <v>1</v>
      </c>
      <c r="B3" s="2" t="s">
        <v>2</v>
      </c>
    </row>
    <row r="4" customFormat="false" ht="15" hidden="false" customHeight="false" outlineLevel="0" collapsed="false">
      <c r="A4" s="1" t="s">
        <v>3</v>
      </c>
      <c r="B4" s="2" t="s">
        <v>4</v>
      </c>
    </row>
    <row r="5" customFormat="false" ht="15" hidden="false" customHeight="false" outlineLevel="0" collapsed="false">
      <c r="A5" s="1" t="s">
        <v>5</v>
      </c>
      <c r="B5" s="2" t="s">
        <v>6</v>
      </c>
    </row>
    <row r="6" customFormat="false" ht="15" hidden="false" customHeight="false" outlineLevel="0" collapsed="false">
      <c r="A6" s="1" t="s">
        <v>7</v>
      </c>
      <c r="B6" s="2" t="n">
        <v>48</v>
      </c>
    </row>
    <row r="7" customFormat="false" ht="15" hidden="false" customHeight="false" outlineLevel="0" collapsed="false">
      <c r="A7" s="1" t="s">
        <v>8</v>
      </c>
      <c r="B7" s="2" t="s">
        <v>9</v>
      </c>
    </row>
    <row r="8" customFormat="false" ht="15" hidden="false" customHeight="false" outlineLevel="0" collapsed="false">
      <c r="A8" s="1" t="s">
        <v>10</v>
      </c>
      <c r="B8" s="2" t="s">
        <v>11</v>
      </c>
    </row>
    <row r="11" customFormat="false" ht="15" hidden="false" customHeight="false" outlineLevel="0" collapsed="false">
      <c r="A11" s="1" t="s">
        <v>12</v>
      </c>
    </row>
    <row r="12" customFormat="false" ht="15" hidden="false" customHeight="false" outlineLevel="0" collapsed="false">
      <c r="A12" s="3" t="s">
        <v>13</v>
      </c>
      <c r="B12" s="3" t="s">
        <v>14</v>
      </c>
      <c r="C12" s="3" t="s">
        <v>15</v>
      </c>
      <c r="D12" s="3" t="s">
        <v>16</v>
      </c>
    </row>
    <row r="13" customFormat="false" ht="15" hidden="false" customHeight="false" outlineLevel="0" collapsed="false">
      <c r="A13" s="2" t="s">
        <v>17</v>
      </c>
      <c r="B13" s="4" t="n">
        <f aca="false">COUNT(questions!G4:G51)</f>
        <v>48</v>
      </c>
      <c r="C13" s="5" t="n">
        <f aca="false">AVERAGE(questions!G4:G51)</f>
        <v>0.752083333333333</v>
      </c>
      <c r="D13" s="5" t="n">
        <f aca="false">AVERAGE(questions!H4:H51)</f>
        <v>0.837326388888889</v>
      </c>
    </row>
    <row r="14" customFormat="false" ht="15" hidden="false" customHeight="false" outlineLevel="0" collapsed="false">
      <c r="A14" s="2" t="s">
        <v>18</v>
      </c>
      <c r="B14" s="4" t="n">
        <f aca="false">COUNTIF(questions!J4:J51,"ANSWERABLE")</f>
        <v>38</v>
      </c>
      <c r="C14" s="5" t="n">
        <f aca="false">AVERAGEIF(questions!J4:J51,"ANSWERABLE",questions!G4:G51)</f>
        <v>0.76140350877193</v>
      </c>
      <c r="D14" s="5" t="n">
        <f aca="false">AVERAGEIF(questions!J4:J51,"ANSWERABLE",questions!H4:H51)</f>
        <v>0.843859649122807</v>
      </c>
    </row>
    <row r="15" customFormat="false" ht="15" hidden="false" customHeight="false" outlineLevel="0" collapsed="false">
      <c r="A15" s="2" t="s">
        <v>19</v>
      </c>
      <c r="B15" s="4" t="n">
        <f aca="false">COUNTIF(questions!J4:J51,"INCOMPLETE")</f>
        <v>10</v>
      </c>
      <c r="C15" s="5" t="n">
        <f aca="false">AVERAGEIF(questions!J4:J51,"INCOMPLETE",questions!G4:G51)</f>
        <v>0.716666666666667</v>
      </c>
      <c r="D15" s="5" t="n">
        <f aca="false">AVERAGEIF(questions!J4:J51,"INCOMPLETE",questions!H4:H51)</f>
        <v>0.8125</v>
      </c>
    </row>
    <row r="17" customFormat="false" ht="15" hidden="false" customHeight="false" outlineLevel="0" collapsed="false">
      <c r="A17"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4" min="3" style="0" width="18"/>
    <col collapsed="false" customWidth="true" hidden="false" outlineLevel="0" max="5" min="5" style="0" width="5"/>
    <col collapsed="false" customWidth="true" hidden="false" outlineLevel="0" max="9" min="6" style="0" width="8"/>
    <col collapsed="false" customWidth="true" hidden="false" outlineLevel="0" max="10" min="10" style="0" width="14"/>
    <col collapsed="false" customWidth="true" hidden="false" outlineLevel="0" max="11" min="11" style="0" width="46"/>
    <col collapsed="false" customWidth="true" hidden="false" outlineLevel="0" max="12" min="12" style="0" width="24"/>
    <col collapsed="false" customWidth="true" hidden="false" outlineLevel="0" max="13" min="13" style="0" width="30"/>
    <col collapsed="false" customWidth="true" hidden="false" outlineLevel="0" max="14" min="14" style="0" width="6"/>
    <col collapsed="false" customWidth="true" hidden="false" outlineLevel="0" max="15" min="15" style="0" width="60"/>
    <col collapsed="false" customWidth="true" hidden="false" outlineLevel="0" max="17" min="16" style="0" width="70"/>
  </cols>
  <sheetData>
    <row r="1" customFormat="false" ht="15" hidden="false" customHeight="false" outlineLevel="0" collapsed="false">
      <c r="A1" s="1" t="s">
        <v>21</v>
      </c>
    </row>
    <row r="3" customFormat="false" ht="15" hidden="false" customHeight="false" outlineLevel="0" collapsed="false">
      <c r="A3" s="6" t="s">
        <v>22</v>
      </c>
      <c r="B3" s="6" t="s">
        <v>23</v>
      </c>
      <c r="C3" s="6" t="s">
        <v>24</v>
      </c>
      <c r="D3" s="6" t="s">
        <v>25</v>
      </c>
      <c r="E3" s="6" t="s">
        <v>26</v>
      </c>
      <c r="F3" s="6" t="s">
        <v>27</v>
      </c>
      <c r="G3" s="6" t="s">
        <v>28</v>
      </c>
      <c r="H3" s="6" t="s">
        <v>29</v>
      </c>
      <c r="I3" s="6" t="s">
        <v>30</v>
      </c>
      <c r="J3" s="6" t="s">
        <v>31</v>
      </c>
      <c r="K3" s="6" t="s">
        <v>32</v>
      </c>
      <c r="L3" s="6" t="s">
        <v>33</v>
      </c>
      <c r="M3" s="6" t="s">
        <v>34</v>
      </c>
      <c r="N3" s="6" t="s">
        <v>35</v>
      </c>
      <c r="O3" s="6" t="s">
        <v>36</v>
      </c>
      <c r="P3" s="6" t="s">
        <v>37</v>
      </c>
      <c r="Q3" s="6" t="s">
        <v>38</v>
      </c>
    </row>
    <row r="4" customFormat="false" ht="102.2" hidden="false" customHeight="false" outlineLevel="0" collapsed="false">
      <c r="A4" s="7" t="s">
        <v>39</v>
      </c>
      <c r="B4" s="7" t="s">
        <v>40</v>
      </c>
      <c r="C4" s="7" t="s">
        <v>41</v>
      </c>
      <c r="D4" s="7" t="s">
        <v>41</v>
      </c>
      <c r="E4" s="7" t="n">
        <v>4</v>
      </c>
      <c r="F4" s="8" t="n">
        <v>0.666666666666667</v>
      </c>
      <c r="G4" s="8" t="n">
        <v>0</v>
      </c>
      <c r="H4" s="8" t="n">
        <v>1</v>
      </c>
      <c r="I4" s="7" t="s">
        <v>42</v>
      </c>
      <c r="J4" s="7" t="s">
        <v>43</v>
      </c>
      <c r="K4" s="9" t="s">
        <v>44</v>
      </c>
      <c r="L4" s="7" t="s">
        <v>45</v>
      </c>
      <c r="M4" s="7" t="s">
        <v>45</v>
      </c>
      <c r="N4" s="10" t="n">
        <v>73.7</v>
      </c>
      <c r="O4" s="9" t="s">
        <v>46</v>
      </c>
      <c r="P4" s="9" t="s">
        <v>47</v>
      </c>
      <c r="Q4" s="9" t="s">
        <v>48</v>
      </c>
    </row>
    <row r="5" customFormat="false" ht="57.45" hidden="false" customHeight="false" outlineLevel="0" collapsed="false">
      <c r="A5" s="7" t="s">
        <v>49</v>
      </c>
      <c r="B5" s="7" t="s">
        <v>40</v>
      </c>
      <c r="C5" s="7" t="s">
        <v>41</v>
      </c>
      <c r="D5" s="7" t="s">
        <v>41</v>
      </c>
      <c r="E5" s="7" t="n">
        <v>5</v>
      </c>
      <c r="F5" s="8" t="n">
        <v>0.5</v>
      </c>
      <c r="G5" s="8" t="n">
        <v>0</v>
      </c>
      <c r="H5" s="8" t="n">
        <v>1</v>
      </c>
      <c r="I5" s="7" t="s">
        <v>42</v>
      </c>
      <c r="J5" s="7" t="s">
        <v>43</v>
      </c>
      <c r="K5" s="9" t="s">
        <v>50</v>
      </c>
      <c r="L5" s="7" t="s">
        <v>51</v>
      </c>
      <c r="M5" s="7" t="s">
        <v>51</v>
      </c>
      <c r="N5" s="10" t="n">
        <v>49.9</v>
      </c>
      <c r="O5" s="9" t="s">
        <v>52</v>
      </c>
      <c r="P5" s="9" t="s">
        <v>53</v>
      </c>
      <c r="Q5" s="9" t="s">
        <v>54</v>
      </c>
    </row>
    <row r="6" customFormat="false" ht="57.45" hidden="false" customHeight="false" outlineLevel="0" collapsed="false">
      <c r="A6" s="7" t="s">
        <v>55</v>
      </c>
      <c r="B6" s="7" t="s">
        <v>40</v>
      </c>
      <c r="C6" s="7" t="s">
        <v>41</v>
      </c>
      <c r="D6" s="7" t="s">
        <v>41</v>
      </c>
      <c r="E6" s="7" t="n">
        <v>1</v>
      </c>
      <c r="F6" s="8" t="n">
        <v>1</v>
      </c>
      <c r="G6" s="8" t="n">
        <v>1</v>
      </c>
      <c r="H6" s="8" t="n">
        <v>0</v>
      </c>
      <c r="I6" s="7" t="s">
        <v>42</v>
      </c>
      <c r="J6" s="7" t="s">
        <v>43</v>
      </c>
      <c r="K6" s="9" t="s">
        <v>56</v>
      </c>
      <c r="L6" s="7" t="s">
        <v>57</v>
      </c>
      <c r="M6" s="7" t="s">
        <v>57</v>
      </c>
      <c r="N6" s="10" t="n">
        <v>14.3</v>
      </c>
      <c r="O6" s="9" t="s">
        <v>58</v>
      </c>
      <c r="P6" s="9" t="s">
        <v>59</v>
      </c>
      <c r="Q6" s="9" t="s">
        <v>60</v>
      </c>
    </row>
    <row r="7" customFormat="false" ht="68.65" hidden="false" customHeight="false" outlineLevel="0" collapsed="false">
      <c r="A7" s="7" t="s">
        <v>61</v>
      </c>
      <c r="B7" s="7" t="s">
        <v>40</v>
      </c>
      <c r="C7" s="7" t="s">
        <v>41</v>
      </c>
      <c r="D7" s="7" t="s">
        <v>41</v>
      </c>
      <c r="E7" s="7" t="n">
        <v>1</v>
      </c>
      <c r="F7" s="8" t="n">
        <v>1</v>
      </c>
      <c r="G7" s="8" t="n">
        <v>1</v>
      </c>
      <c r="H7" s="8" t="n">
        <v>1</v>
      </c>
      <c r="I7" s="7" t="s">
        <v>42</v>
      </c>
      <c r="J7" s="7" t="s">
        <v>43</v>
      </c>
      <c r="K7" s="9" t="s">
        <v>62</v>
      </c>
      <c r="L7" s="7" t="s">
        <v>63</v>
      </c>
      <c r="M7" s="7" t="s">
        <v>63</v>
      </c>
      <c r="N7" s="10" t="n">
        <v>9.2</v>
      </c>
      <c r="O7" s="9" t="s">
        <v>64</v>
      </c>
      <c r="P7" s="9" t="s">
        <v>65</v>
      </c>
      <c r="Q7" s="9" t="s">
        <v>66</v>
      </c>
    </row>
    <row r="8" customFormat="false" ht="57.45" hidden="false" customHeight="false" outlineLevel="0" collapsed="false">
      <c r="A8" s="7" t="s">
        <v>67</v>
      </c>
      <c r="B8" s="7" t="s">
        <v>40</v>
      </c>
      <c r="C8" s="7" t="s">
        <v>41</v>
      </c>
      <c r="D8" s="7" t="s">
        <v>41</v>
      </c>
      <c r="E8" s="7" t="n">
        <v>4</v>
      </c>
      <c r="F8" s="8" t="n">
        <v>1</v>
      </c>
      <c r="G8" s="8" t="n">
        <v>1</v>
      </c>
      <c r="H8" s="8" t="n">
        <v>1</v>
      </c>
      <c r="I8" s="7" t="s">
        <v>42</v>
      </c>
      <c r="J8" s="7" t="s">
        <v>43</v>
      </c>
      <c r="K8" s="9" t="s">
        <v>68</v>
      </c>
      <c r="L8" s="7" t="s">
        <v>69</v>
      </c>
      <c r="M8" s="7" t="s">
        <v>69</v>
      </c>
      <c r="N8" s="10" t="n">
        <v>38.7</v>
      </c>
      <c r="O8" s="9" t="s">
        <v>70</v>
      </c>
      <c r="P8" s="9" t="s">
        <v>71</v>
      </c>
      <c r="Q8" s="9" t="s">
        <v>72</v>
      </c>
    </row>
    <row r="9" customFormat="false" ht="57.45" hidden="false" customHeight="false" outlineLevel="0" collapsed="false">
      <c r="A9" s="7" t="s">
        <v>73</v>
      </c>
      <c r="B9" s="7" t="s">
        <v>40</v>
      </c>
      <c r="C9" s="7" t="s">
        <v>41</v>
      </c>
      <c r="D9" s="7" t="s">
        <v>41</v>
      </c>
      <c r="E9" s="7" t="n">
        <v>5</v>
      </c>
      <c r="F9" s="8" t="n">
        <v>1</v>
      </c>
      <c r="G9" s="8" t="n">
        <v>1</v>
      </c>
      <c r="H9" s="8" t="n">
        <v>1</v>
      </c>
      <c r="I9" s="7" t="s">
        <v>42</v>
      </c>
      <c r="J9" s="7" t="s">
        <v>43</v>
      </c>
      <c r="K9" s="9" t="s">
        <v>74</v>
      </c>
      <c r="L9" s="7" t="s">
        <v>75</v>
      </c>
      <c r="M9" s="7" t="s">
        <v>75</v>
      </c>
      <c r="N9" s="10" t="n">
        <v>25.5</v>
      </c>
      <c r="O9" s="9" t="s">
        <v>76</v>
      </c>
      <c r="P9" s="9" t="s">
        <v>77</v>
      </c>
      <c r="Q9" s="9" t="s">
        <v>78</v>
      </c>
    </row>
    <row r="10" customFormat="false" ht="113.4" hidden="false" customHeight="false" outlineLevel="0" collapsed="false">
      <c r="A10" s="7" t="s">
        <v>79</v>
      </c>
      <c r="B10" s="7" t="s">
        <v>80</v>
      </c>
      <c r="C10" s="7" t="s">
        <v>81</v>
      </c>
      <c r="D10" s="7" t="s">
        <v>82</v>
      </c>
      <c r="E10" s="7" t="n">
        <v>3</v>
      </c>
      <c r="F10" s="8" t="n">
        <v>1</v>
      </c>
      <c r="G10" s="8" t="n">
        <v>1</v>
      </c>
      <c r="H10" s="8" t="n">
        <v>0</v>
      </c>
      <c r="I10" s="7" t="s">
        <v>42</v>
      </c>
      <c r="J10" s="7" t="s">
        <v>43</v>
      </c>
      <c r="K10" s="9" t="s">
        <v>83</v>
      </c>
      <c r="L10" s="7" t="s">
        <v>84</v>
      </c>
      <c r="M10" s="7" t="s">
        <v>85</v>
      </c>
      <c r="N10" s="10" t="n">
        <v>19.6</v>
      </c>
      <c r="O10" s="9" t="s">
        <v>86</v>
      </c>
      <c r="P10" s="9" t="s">
        <v>87</v>
      </c>
      <c r="Q10" s="9" t="s">
        <v>88</v>
      </c>
    </row>
    <row r="11" customFormat="false" ht="79.85" hidden="false" customHeight="false" outlineLevel="0" collapsed="false">
      <c r="A11" s="7" t="s">
        <v>89</v>
      </c>
      <c r="B11" s="7" t="s">
        <v>80</v>
      </c>
      <c r="C11" s="7" t="s">
        <v>81</v>
      </c>
      <c r="D11" s="7" t="s">
        <v>81</v>
      </c>
      <c r="E11" s="7" t="n">
        <v>3</v>
      </c>
      <c r="F11" s="8"/>
      <c r="G11" s="8" t="n">
        <v>0.5</v>
      </c>
      <c r="H11" s="8" t="n">
        <v>0.75</v>
      </c>
      <c r="I11" s="7" t="s">
        <v>42</v>
      </c>
      <c r="J11" s="7" t="s">
        <v>90</v>
      </c>
      <c r="K11" s="9" t="s">
        <v>91</v>
      </c>
      <c r="L11" s="7" t="s">
        <v>84</v>
      </c>
      <c r="M11" s="7" t="s">
        <v>85</v>
      </c>
      <c r="N11" s="10" t="n">
        <v>29.7</v>
      </c>
      <c r="O11" s="9" t="s">
        <v>92</v>
      </c>
      <c r="P11" s="9" t="s">
        <v>93</v>
      </c>
      <c r="Q11" s="9" t="s">
        <v>94</v>
      </c>
    </row>
    <row r="12" customFormat="false" ht="68.65" hidden="false" customHeight="false" outlineLevel="0" collapsed="false">
      <c r="A12" s="7" t="s">
        <v>95</v>
      </c>
      <c r="B12" s="7" t="s">
        <v>80</v>
      </c>
      <c r="C12" s="7" t="s">
        <v>81</v>
      </c>
      <c r="D12" s="7" t="s">
        <v>81</v>
      </c>
      <c r="E12" s="7" t="n">
        <v>6</v>
      </c>
      <c r="F12" s="8"/>
      <c r="G12" s="8" t="n">
        <v>0</v>
      </c>
      <c r="H12" s="8" t="n">
        <v>0.25</v>
      </c>
      <c r="I12" s="7" t="s">
        <v>96</v>
      </c>
      <c r="J12" s="7" t="s">
        <v>90</v>
      </c>
      <c r="K12" s="9" t="s">
        <v>91</v>
      </c>
      <c r="L12" s="7" t="s">
        <v>97</v>
      </c>
      <c r="M12" s="7" t="s">
        <v>98</v>
      </c>
      <c r="N12" s="10" t="n">
        <v>24.6</v>
      </c>
      <c r="O12" s="9" t="s">
        <v>99</v>
      </c>
      <c r="P12" s="9" t="s">
        <v>100</v>
      </c>
      <c r="Q12" s="9" t="s">
        <v>101</v>
      </c>
    </row>
    <row r="13" customFormat="false" ht="79.85" hidden="false" customHeight="false" outlineLevel="0" collapsed="false">
      <c r="A13" s="7" t="s">
        <v>102</v>
      </c>
      <c r="B13" s="7" t="s">
        <v>103</v>
      </c>
      <c r="C13" s="7" t="s">
        <v>82</v>
      </c>
      <c r="D13" s="7" t="s">
        <v>82</v>
      </c>
      <c r="E13" s="7" t="n">
        <v>3</v>
      </c>
      <c r="F13" s="8" t="n">
        <v>1</v>
      </c>
      <c r="G13" s="8" t="n">
        <v>1</v>
      </c>
      <c r="H13" s="8" t="n">
        <v>1</v>
      </c>
      <c r="I13" s="7" t="s">
        <v>42</v>
      </c>
      <c r="J13" s="7" t="s">
        <v>43</v>
      </c>
      <c r="K13" s="9" t="s">
        <v>104</v>
      </c>
      <c r="L13" s="7" t="s">
        <v>105</v>
      </c>
      <c r="M13" s="7" t="s">
        <v>105</v>
      </c>
      <c r="N13" s="10" t="n">
        <v>43.2</v>
      </c>
      <c r="O13" s="9" t="s">
        <v>106</v>
      </c>
      <c r="P13" s="9" t="s">
        <v>107</v>
      </c>
      <c r="Q13" s="9" t="s">
        <v>108</v>
      </c>
    </row>
    <row r="14" customFormat="false" ht="79.85" hidden="false" customHeight="false" outlineLevel="0" collapsed="false">
      <c r="A14" s="7" t="s">
        <v>109</v>
      </c>
      <c r="B14" s="7" t="s">
        <v>103</v>
      </c>
      <c r="C14" s="7" t="s">
        <v>82</v>
      </c>
      <c r="D14" s="7" t="s">
        <v>82</v>
      </c>
      <c r="E14" s="7" t="n">
        <v>3</v>
      </c>
      <c r="F14" s="8" t="n">
        <v>1</v>
      </c>
      <c r="G14" s="8" t="n">
        <v>0.5</v>
      </c>
      <c r="H14" s="8" t="n">
        <v>1</v>
      </c>
      <c r="I14" s="7" t="s">
        <v>42</v>
      </c>
      <c r="J14" s="7" t="s">
        <v>43</v>
      </c>
      <c r="K14" s="9" t="s">
        <v>110</v>
      </c>
      <c r="L14" s="7" t="s">
        <v>111</v>
      </c>
      <c r="M14" s="7" t="s">
        <v>111</v>
      </c>
      <c r="N14" s="10" t="n">
        <v>37.9</v>
      </c>
      <c r="O14" s="9" t="s">
        <v>112</v>
      </c>
      <c r="P14" s="9" t="s">
        <v>113</v>
      </c>
      <c r="Q14" s="9" t="s">
        <v>114</v>
      </c>
    </row>
    <row r="15" customFormat="false" ht="79.85" hidden="false" customHeight="false" outlineLevel="0" collapsed="false">
      <c r="A15" s="7" t="s">
        <v>115</v>
      </c>
      <c r="B15" s="7" t="s">
        <v>103</v>
      </c>
      <c r="C15" s="7" t="s">
        <v>82</v>
      </c>
      <c r="D15" s="7" t="s">
        <v>82</v>
      </c>
      <c r="E15" s="7" t="n">
        <v>4</v>
      </c>
      <c r="F15" s="8" t="n">
        <v>0.5</v>
      </c>
      <c r="G15" s="8" t="n">
        <v>0.5</v>
      </c>
      <c r="H15" s="8" t="n">
        <v>0.75</v>
      </c>
      <c r="I15" s="7" t="s">
        <v>42</v>
      </c>
      <c r="J15" s="7" t="s">
        <v>43</v>
      </c>
      <c r="K15" s="9" t="s">
        <v>116</v>
      </c>
      <c r="L15" s="7" t="s">
        <v>117</v>
      </c>
      <c r="M15" s="7" t="s">
        <v>118</v>
      </c>
      <c r="N15" s="10" t="n">
        <v>36.5</v>
      </c>
      <c r="O15" s="9" t="s">
        <v>119</v>
      </c>
      <c r="P15" s="9" t="s">
        <v>120</v>
      </c>
      <c r="Q15" s="9" t="s">
        <v>121</v>
      </c>
    </row>
    <row r="16" customFormat="false" ht="57.45" hidden="false" customHeight="false" outlineLevel="0" collapsed="false">
      <c r="A16" s="7" t="s">
        <v>122</v>
      </c>
      <c r="B16" s="7" t="s">
        <v>123</v>
      </c>
      <c r="C16" s="7" t="s">
        <v>124</v>
      </c>
      <c r="D16" s="7" t="s">
        <v>124</v>
      </c>
      <c r="E16" s="7" t="n">
        <v>7</v>
      </c>
      <c r="F16" s="8" t="n">
        <v>1</v>
      </c>
      <c r="G16" s="8" t="n">
        <v>0.5</v>
      </c>
      <c r="H16" s="8" t="n">
        <v>0.75</v>
      </c>
      <c r="I16" s="7" t="s">
        <v>42</v>
      </c>
      <c r="J16" s="7" t="s">
        <v>43</v>
      </c>
      <c r="K16" s="9" t="s">
        <v>125</v>
      </c>
      <c r="L16" s="7" t="s">
        <v>126</v>
      </c>
      <c r="M16" s="7" t="s">
        <v>127</v>
      </c>
      <c r="N16" s="10" t="n">
        <v>64.7</v>
      </c>
      <c r="O16" s="9" t="s">
        <v>128</v>
      </c>
      <c r="P16" s="9" t="s">
        <v>129</v>
      </c>
      <c r="Q16" s="9" t="s">
        <v>130</v>
      </c>
    </row>
    <row r="17" customFormat="false" ht="91" hidden="false" customHeight="false" outlineLevel="0" collapsed="false">
      <c r="A17" s="7" t="s">
        <v>131</v>
      </c>
      <c r="B17" s="7" t="s">
        <v>123</v>
      </c>
      <c r="C17" s="7" t="s">
        <v>124</v>
      </c>
      <c r="D17" s="7" t="s">
        <v>124</v>
      </c>
      <c r="E17" s="7" t="n">
        <v>4</v>
      </c>
      <c r="F17" s="8" t="n">
        <v>1</v>
      </c>
      <c r="G17" s="8" t="n">
        <v>1</v>
      </c>
      <c r="H17" s="8" t="n">
        <v>1</v>
      </c>
      <c r="I17" s="7" t="s">
        <v>42</v>
      </c>
      <c r="J17" s="7" t="s">
        <v>43</v>
      </c>
      <c r="K17" s="9" t="s">
        <v>132</v>
      </c>
      <c r="L17" s="7" t="s">
        <v>126</v>
      </c>
      <c r="M17" s="7" t="s">
        <v>133</v>
      </c>
      <c r="N17" s="10" t="n">
        <v>60.8</v>
      </c>
      <c r="O17" s="9" t="s">
        <v>134</v>
      </c>
      <c r="P17" s="9" t="s">
        <v>135</v>
      </c>
      <c r="Q17" s="9" t="s">
        <v>136</v>
      </c>
    </row>
    <row r="18" customFormat="false" ht="79.85" hidden="false" customHeight="false" outlineLevel="0" collapsed="false">
      <c r="A18" s="7" t="s">
        <v>137</v>
      </c>
      <c r="B18" s="7" t="s">
        <v>138</v>
      </c>
      <c r="C18" s="7" t="s">
        <v>138</v>
      </c>
      <c r="D18" s="7" t="s">
        <v>81</v>
      </c>
      <c r="E18" s="7" t="n">
        <v>4</v>
      </c>
      <c r="F18" s="8"/>
      <c r="G18" s="8" t="n">
        <v>0.666666666666667</v>
      </c>
      <c r="H18" s="8" t="n">
        <v>1</v>
      </c>
      <c r="I18" s="7" t="s">
        <v>96</v>
      </c>
      <c r="J18" s="7" t="s">
        <v>90</v>
      </c>
      <c r="K18" s="9" t="s">
        <v>139</v>
      </c>
      <c r="L18" s="7" t="s">
        <v>140</v>
      </c>
      <c r="M18" s="7" t="s">
        <v>141</v>
      </c>
      <c r="N18" s="10" t="n">
        <v>62.2</v>
      </c>
      <c r="O18" s="9" t="s">
        <v>142</v>
      </c>
      <c r="P18" s="9" t="s">
        <v>143</v>
      </c>
      <c r="Q18" s="9" t="s">
        <v>144</v>
      </c>
    </row>
    <row r="19" customFormat="false" ht="68.65" hidden="false" customHeight="false" outlineLevel="0" collapsed="false">
      <c r="A19" s="7" t="s">
        <v>145</v>
      </c>
      <c r="B19" s="7" t="s">
        <v>138</v>
      </c>
      <c r="C19" s="7" t="s">
        <v>138</v>
      </c>
      <c r="D19" s="7" t="s">
        <v>81</v>
      </c>
      <c r="E19" s="7" t="n">
        <v>4</v>
      </c>
      <c r="F19" s="8" t="n">
        <v>0</v>
      </c>
      <c r="G19" s="8" t="n">
        <v>0.5</v>
      </c>
      <c r="H19" s="8" t="n">
        <v>1</v>
      </c>
      <c r="I19" s="7" t="s">
        <v>42</v>
      </c>
      <c r="J19" s="7" t="s">
        <v>43</v>
      </c>
      <c r="K19" s="9" t="s">
        <v>146</v>
      </c>
      <c r="L19" s="7" t="s">
        <v>57</v>
      </c>
      <c r="M19" s="7" t="s">
        <v>147</v>
      </c>
      <c r="N19" s="10" t="n">
        <v>43.5</v>
      </c>
      <c r="O19" s="9" t="s">
        <v>148</v>
      </c>
      <c r="P19" s="9" t="s">
        <v>149</v>
      </c>
      <c r="Q19" s="9" t="s">
        <v>150</v>
      </c>
    </row>
    <row r="20" customFormat="false" ht="79.85" hidden="false" customHeight="false" outlineLevel="0" collapsed="false">
      <c r="A20" s="7" t="s">
        <v>151</v>
      </c>
      <c r="B20" s="7" t="s">
        <v>138</v>
      </c>
      <c r="C20" s="7" t="s">
        <v>138</v>
      </c>
      <c r="D20" s="7" t="s">
        <v>81</v>
      </c>
      <c r="E20" s="7" t="n">
        <v>5</v>
      </c>
      <c r="F20" s="8" t="n">
        <v>1</v>
      </c>
      <c r="G20" s="8" t="n">
        <v>1</v>
      </c>
      <c r="H20" s="8" t="n">
        <v>1</v>
      </c>
      <c r="I20" s="7" t="s">
        <v>42</v>
      </c>
      <c r="J20" s="7" t="s">
        <v>90</v>
      </c>
      <c r="K20" s="9" t="s">
        <v>152</v>
      </c>
      <c r="L20" s="7" t="s">
        <v>75</v>
      </c>
      <c r="M20" s="7" t="s">
        <v>75</v>
      </c>
      <c r="N20" s="10" t="n">
        <v>34.7</v>
      </c>
      <c r="O20" s="9" t="s">
        <v>153</v>
      </c>
      <c r="P20" s="9" t="s">
        <v>154</v>
      </c>
      <c r="Q20" s="9" t="s">
        <v>155</v>
      </c>
    </row>
    <row r="21" customFormat="false" ht="79.85" hidden="false" customHeight="false" outlineLevel="0" collapsed="false">
      <c r="A21" s="7" t="s">
        <v>156</v>
      </c>
      <c r="B21" s="7" t="s">
        <v>157</v>
      </c>
      <c r="C21" s="7" t="s">
        <v>41</v>
      </c>
      <c r="D21" s="7" t="s">
        <v>41</v>
      </c>
      <c r="E21" s="7" t="n">
        <v>5</v>
      </c>
      <c r="F21" s="8" t="n">
        <v>1</v>
      </c>
      <c r="G21" s="8" t="n">
        <v>0.6</v>
      </c>
      <c r="H21" s="8" t="n">
        <v>0.833333333333333</v>
      </c>
      <c r="I21" s="7" t="s">
        <v>42</v>
      </c>
      <c r="J21" s="7" t="s">
        <v>43</v>
      </c>
      <c r="K21" s="9" t="s">
        <v>68</v>
      </c>
      <c r="L21" s="7" t="s">
        <v>69</v>
      </c>
      <c r="M21" s="7" t="s">
        <v>69</v>
      </c>
      <c r="N21" s="10" t="n">
        <v>41.2</v>
      </c>
      <c r="O21" s="9" t="s">
        <v>158</v>
      </c>
      <c r="P21" s="9" t="s">
        <v>159</v>
      </c>
      <c r="Q21" s="9" t="s">
        <v>160</v>
      </c>
    </row>
    <row r="22" customFormat="false" ht="57.45" hidden="false" customHeight="false" outlineLevel="0" collapsed="false">
      <c r="A22" s="7" t="s">
        <v>161</v>
      </c>
      <c r="B22" s="7" t="s">
        <v>40</v>
      </c>
      <c r="C22" s="7" t="s">
        <v>41</v>
      </c>
      <c r="D22" s="7" t="s">
        <v>41</v>
      </c>
      <c r="E22" s="7" t="n">
        <v>4</v>
      </c>
      <c r="F22" s="8" t="n">
        <v>1</v>
      </c>
      <c r="G22" s="8" t="n">
        <v>1</v>
      </c>
      <c r="H22" s="8" t="n">
        <v>1</v>
      </c>
      <c r="I22" s="7" t="s">
        <v>42</v>
      </c>
      <c r="J22" s="7" t="s">
        <v>43</v>
      </c>
      <c r="K22" s="9" t="s">
        <v>50</v>
      </c>
      <c r="L22" s="7" t="s">
        <v>51</v>
      </c>
      <c r="M22" s="7" t="s">
        <v>51</v>
      </c>
      <c r="N22" s="10" t="n">
        <v>22.2</v>
      </c>
      <c r="O22" s="9" t="s">
        <v>162</v>
      </c>
      <c r="P22" s="9" t="s">
        <v>163</v>
      </c>
      <c r="Q22" s="9" t="s">
        <v>164</v>
      </c>
    </row>
    <row r="23" customFormat="false" ht="79.85" hidden="false" customHeight="false" outlineLevel="0" collapsed="false">
      <c r="A23" s="7" t="s">
        <v>165</v>
      </c>
      <c r="B23" s="7" t="s">
        <v>40</v>
      </c>
      <c r="C23" s="7" t="s">
        <v>41</v>
      </c>
      <c r="D23" s="7" t="s">
        <v>41</v>
      </c>
      <c r="E23" s="7" t="n">
        <v>3</v>
      </c>
      <c r="F23" s="8" t="n">
        <v>1</v>
      </c>
      <c r="G23" s="8" t="n">
        <v>1</v>
      </c>
      <c r="H23" s="8" t="n">
        <v>1</v>
      </c>
      <c r="I23" s="7" t="s">
        <v>42</v>
      </c>
      <c r="J23" s="7" t="s">
        <v>43</v>
      </c>
      <c r="K23" s="9" t="s">
        <v>50</v>
      </c>
      <c r="L23" s="7" t="s">
        <v>51</v>
      </c>
      <c r="M23" s="7" t="s">
        <v>51</v>
      </c>
      <c r="N23" s="10" t="n">
        <v>53</v>
      </c>
      <c r="O23" s="9" t="s">
        <v>166</v>
      </c>
      <c r="P23" s="9" t="s">
        <v>167</v>
      </c>
      <c r="Q23" s="9" t="s">
        <v>168</v>
      </c>
    </row>
    <row r="24" customFormat="false" ht="113.4" hidden="false" customHeight="false" outlineLevel="0" collapsed="false">
      <c r="A24" s="7" t="s">
        <v>169</v>
      </c>
      <c r="B24" s="7" t="s">
        <v>40</v>
      </c>
      <c r="C24" s="7" t="s">
        <v>41</v>
      </c>
      <c r="D24" s="7" t="s">
        <v>41</v>
      </c>
      <c r="E24" s="7" t="n">
        <v>5</v>
      </c>
      <c r="F24" s="8" t="n">
        <v>1</v>
      </c>
      <c r="G24" s="8" t="n">
        <v>1</v>
      </c>
      <c r="H24" s="8" t="n">
        <v>1</v>
      </c>
      <c r="I24" s="7" t="s">
        <v>42</v>
      </c>
      <c r="J24" s="7" t="s">
        <v>43</v>
      </c>
      <c r="K24" s="9" t="s">
        <v>170</v>
      </c>
      <c r="L24" s="7" t="s">
        <v>171</v>
      </c>
      <c r="M24" s="7" t="s">
        <v>171</v>
      </c>
      <c r="N24" s="10" t="n">
        <v>122.8</v>
      </c>
      <c r="O24" s="9" t="s">
        <v>172</v>
      </c>
      <c r="P24" s="9" t="s">
        <v>173</v>
      </c>
      <c r="Q24" s="9" t="s">
        <v>174</v>
      </c>
    </row>
    <row r="25" customFormat="false" ht="68.65" hidden="false" customHeight="false" outlineLevel="0" collapsed="false">
      <c r="A25" s="7" t="s">
        <v>175</v>
      </c>
      <c r="B25" s="7" t="s">
        <v>40</v>
      </c>
      <c r="C25" s="7" t="s">
        <v>41</v>
      </c>
      <c r="D25" s="7" t="s">
        <v>41</v>
      </c>
      <c r="E25" s="7" t="n">
        <v>3</v>
      </c>
      <c r="F25" s="8" t="n">
        <v>1</v>
      </c>
      <c r="G25" s="8" t="n">
        <v>1</v>
      </c>
      <c r="H25" s="8" t="n">
        <v>1</v>
      </c>
      <c r="I25" s="7" t="s">
        <v>42</v>
      </c>
      <c r="J25" s="7" t="s">
        <v>43</v>
      </c>
      <c r="K25" s="9" t="s">
        <v>176</v>
      </c>
      <c r="L25" s="7" t="s">
        <v>177</v>
      </c>
      <c r="M25" s="7" t="s">
        <v>177</v>
      </c>
      <c r="N25" s="10" t="n">
        <v>28.4</v>
      </c>
      <c r="O25" s="9" t="s">
        <v>178</v>
      </c>
      <c r="P25" s="9" t="s">
        <v>179</v>
      </c>
      <c r="Q25" s="9" t="s">
        <v>180</v>
      </c>
    </row>
    <row r="26" customFormat="false" ht="68.65" hidden="false" customHeight="false" outlineLevel="0" collapsed="false">
      <c r="A26" s="7" t="s">
        <v>181</v>
      </c>
      <c r="B26" s="7" t="s">
        <v>40</v>
      </c>
      <c r="C26" s="7" t="s">
        <v>41</v>
      </c>
      <c r="D26" s="7" t="s">
        <v>41</v>
      </c>
      <c r="E26" s="7" t="n">
        <v>2</v>
      </c>
      <c r="F26" s="8" t="n">
        <v>1</v>
      </c>
      <c r="G26" s="8" t="n">
        <v>1</v>
      </c>
      <c r="H26" s="8" t="n">
        <v>1</v>
      </c>
      <c r="I26" s="7" t="s">
        <v>42</v>
      </c>
      <c r="J26" s="7" t="s">
        <v>43</v>
      </c>
      <c r="K26" s="9" t="s">
        <v>56</v>
      </c>
      <c r="L26" s="7" t="s">
        <v>57</v>
      </c>
      <c r="M26" s="7" t="s">
        <v>57</v>
      </c>
      <c r="N26" s="10" t="n">
        <v>28.6</v>
      </c>
      <c r="O26" s="9" t="s">
        <v>182</v>
      </c>
      <c r="P26" s="9" t="s">
        <v>183</v>
      </c>
      <c r="Q26" s="9" t="s">
        <v>184</v>
      </c>
    </row>
    <row r="27" customFormat="false" ht="57.45" hidden="false" customHeight="false" outlineLevel="0" collapsed="false">
      <c r="A27" s="7" t="s">
        <v>185</v>
      </c>
      <c r="B27" s="7" t="s">
        <v>40</v>
      </c>
      <c r="C27" s="7" t="s">
        <v>41</v>
      </c>
      <c r="D27" s="7" t="s">
        <v>41</v>
      </c>
      <c r="E27" s="7" t="n">
        <v>3</v>
      </c>
      <c r="F27" s="8" t="n">
        <v>1</v>
      </c>
      <c r="G27" s="8" t="n">
        <v>1</v>
      </c>
      <c r="H27" s="8" t="n">
        <v>1</v>
      </c>
      <c r="I27" s="7" t="s">
        <v>42</v>
      </c>
      <c r="J27" s="7" t="s">
        <v>43</v>
      </c>
      <c r="K27" s="9" t="s">
        <v>186</v>
      </c>
      <c r="L27" s="7" t="s">
        <v>187</v>
      </c>
      <c r="M27" s="7" t="s">
        <v>187</v>
      </c>
      <c r="N27" s="10" t="n">
        <v>56.3</v>
      </c>
      <c r="O27" s="9" t="s">
        <v>188</v>
      </c>
      <c r="P27" s="9" t="s">
        <v>189</v>
      </c>
      <c r="Q27" s="9" t="s">
        <v>190</v>
      </c>
    </row>
    <row r="28" customFormat="false" ht="113.4" hidden="false" customHeight="false" outlineLevel="0" collapsed="false">
      <c r="A28" s="7" t="s">
        <v>191</v>
      </c>
      <c r="B28" s="7" t="s">
        <v>40</v>
      </c>
      <c r="C28" s="7" t="s">
        <v>41</v>
      </c>
      <c r="D28" s="7" t="s">
        <v>41</v>
      </c>
      <c r="E28" s="7" t="n">
        <v>3</v>
      </c>
      <c r="F28" s="8" t="n">
        <v>1</v>
      </c>
      <c r="G28" s="8" t="n">
        <v>1</v>
      </c>
      <c r="H28" s="8" t="n">
        <v>1</v>
      </c>
      <c r="I28" s="7" t="s">
        <v>42</v>
      </c>
      <c r="J28" s="7" t="s">
        <v>43</v>
      </c>
      <c r="K28" s="9" t="s">
        <v>186</v>
      </c>
      <c r="L28" s="7" t="s">
        <v>187</v>
      </c>
      <c r="M28" s="7" t="s">
        <v>187</v>
      </c>
      <c r="N28" s="10" t="n">
        <v>47.4</v>
      </c>
      <c r="O28" s="9" t="s">
        <v>192</v>
      </c>
      <c r="P28" s="9" t="s">
        <v>193</v>
      </c>
      <c r="Q28" s="9" t="s">
        <v>194</v>
      </c>
    </row>
    <row r="29" customFormat="false" ht="124.6" hidden="false" customHeight="false" outlineLevel="0" collapsed="false">
      <c r="A29" s="7" t="s">
        <v>195</v>
      </c>
      <c r="B29" s="7" t="s">
        <v>40</v>
      </c>
      <c r="C29" s="7" t="s">
        <v>41</v>
      </c>
      <c r="D29" s="7" t="s">
        <v>41</v>
      </c>
      <c r="E29" s="7" t="n">
        <v>5</v>
      </c>
      <c r="F29" s="8" t="n">
        <v>1</v>
      </c>
      <c r="G29" s="8" t="n">
        <v>0.5</v>
      </c>
      <c r="H29" s="8" t="n">
        <v>1</v>
      </c>
      <c r="I29" s="7" t="s">
        <v>42</v>
      </c>
      <c r="J29" s="7" t="s">
        <v>43</v>
      </c>
      <c r="K29" s="9" t="s">
        <v>68</v>
      </c>
      <c r="L29" s="7" t="s">
        <v>69</v>
      </c>
      <c r="M29" s="7" t="s">
        <v>69</v>
      </c>
      <c r="N29" s="10" t="n">
        <v>60.1</v>
      </c>
      <c r="O29" s="9" t="s">
        <v>196</v>
      </c>
      <c r="P29" s="9" t="s">
        <v>197</v>
      </c>
      <c r="Q29" s="9" t="s">
        <v>198</v>
      </c>
    </row>
    <row r="30" customFormat="false" ht="57.45" hidden="false" customHeight="false" outlineLevel="0" collapsed="false">
      <c r="A30" s="7" t="s">
        <v>199</v>
      </c>
      <c r="B30" s="7" t="s">
        <v>40</v>
      </c>
      <c r="C30" s="7" t="s">
        <v>41</v>
      </c>
      <c r="D30" s="7" t="s">
        <v>41</v>
      </c>
      <c r="E30" s="7" t="n">
        <v>3</v>
      </c>
      <c r="F30" s="8" t="n">
        <v>1</v>
      </c>
      <c r="G30" s="8" t="n">
        <v>1</v>
      </c>
      <c r="H30" s="8" t="n">
        <v>1</v>
      </c>
      <c r="I30" s="7" t="s">
        <v>42</v>
      </c>
      <c r="J30" s="7" t="s">
        <v>43</v>
      </c>
      <c r="K30" s="9" t="s">
        <v>200</v>
      </c>
      <c r="L30" s="7" t="s">
        <v>126</v>
      </c>
      <c r="M30" s="7" t="s">
        <v>126</v>
      </c>
      <c r="N30" s="10" t="n">
        <v>48.8</v>
      </c>
      <c r="O30" s="9" t="s">
        <v>201</v>
      </c>
      <c r="P30" s="9" t="s">
        <v>202</v>
      </c>
      <c r="Q30" s="9" t="s">
        <v>203</v>
      </c>
    </row>
    <row r="31" customFormat="false" ht="57.45" hidden="false" customHeight="false" outlineLevel="0" collapsed="false">
      <c r="A31" s="7" t="s">
        <v>204</v>
      </c>
      <c r="B31" s="7" t="s">
        <v>40</v>
      </c>
      <c r="C31" s="7" t="s">
        <v>41</v>
      </c>
      <c r="D31" s="7" t="s">
        <v>41</v>
      </c>
      <c r="E31" s="7" t="n">
        <v>4</v>
      </c>
      <c r="F31" s="8" t="n">
        <v>1</v>
      </c>
      <c r="G31" s="8" t="n">
        <v>1</v>
      </c>
      <c r="H31" s="8" t="n">
        <v>1</v>
      </c>
      <c r="I31" s="7" t="s">
        <v>42</v>
      </c>
      <c r="J31" s="7" t="s">
        <v>43</v>
      </c>
      <c r="K31" s="9" t="s">
        <v>205</v>
      </c>
      <c r="L31" s="7" t="s">
        <v>206</v>
      </c>
      <c r="M31" s="7" t="s">
        <v>206</v>
      </c>
      <c r="N31" s="10" t="n">
        <v>70.8</v>
      </c>
      <c r="O31" s="9" t="s">
        <v>207</v>
      </c>
      <c r="P31" s="9" t="s">
        <v>208</v>
      </c>
      <c r="Q31" s="9" t="s">
        <v>209</v>
      </c>
    </row>
    <row r="32" customFormat="false" ht="68.65" hidden="false" customHeight="false" outlineLevel="0" collapsed="false">
      <c r="A32" s="7" t="s">
        <v>210</v>
      </c>
      <c r="B32" s="7" t="s">
        <v>40</v>
      </c>
      <c r="C32" s="7" t="s">
        <v>41</v>
      </c>
      <c r="D32" s="7" t="s">
        <v>41</v>
      </c>
      <c r="E32" s="7" t="n">
        <v>5</v>
      </c>
      <c r="F32" s="8" t="n">
        <v>1</v>
      </c>
      <c r="G32" s="8" t="n">
        <v>1</v>
      </c>
      <c r="H32" s="8" t="n">
        <v>1</v>
      </c>
      <c r="I32" s="7" t="s">
        <v>42</v>
      </c>
      <c r="J32" s="7" t="s">
        <v>43</v>
      </c>
      <c r="K32" s="9" t="s">
        <v>211</v>
      </c>
      <c r="L32" s="7" t="s">
        <v>212</v>
      </c>
      <c r="M32" s="7" t="s">
        <v>212</v>
      </c>
      <c r="N32" s="10" t="n">
        <v>105.8</v>
      </c>
      <c r="O32" s="9" t="s">
        <v>213</v>
      </c>
      <c r="P32" s="9" t="s">
        <v>214</v>
      </c>
      <c r="Q32" s="9" t="s">
        <v>215</v>
      </c>
    </row>
    <row r="33" customFormat="false" ht="68.65" hidden="false" customHeight="false" outlineLevel="0" collapsed="false">
      <c r="A33" s="7" t="s">
        <v>216</v>
      </c>
      <c r="B33" s="7" t="s">
        <v>40</v>
      </c>
      <c r="C33" s="7" t="s">
        <v>41</v>
      </c>
      <c r="D33" s="7" t="s">
        <v>41</v>
      </c>
      <c r="E33" s="7" t="n">
        <v>5</v>
      </c>
      <c r="F33" s="8" t="n">
        <v>1</v>
      </c>
      <c r="G33" s="8" t="n">
        <v>1</v>
      </c>
      <c r="H33" s="8" t="n">
        <v>1</v>
      </c>
      <c r="I33" s="7" t="s">
        <v>42</v>
      </c>
      <c r="J33" s="7" t="s">
        <v>43</v>
      </c>
      <c r="K33" s="9" t="s">
        <v>44</v>
      </c>
      <c r="L33" s="7" t="s">
        <v>45</v>
      </c>
      <c r="M33" s="7" t="s">
        <v>45</v>
      </c>
      <c r="N33" s="10" t="n">
        <v>41.7</v>
      </c>
      <c r="O33" s="9" t="s">
        <v>217</v>
      </c>
      <c r="P33" s="9" t="s">
        <v>218</v>
      </c>
      <c r="Q33" s="9" t="s">
        <v>219</v>
      </c>
    </row>
    <row r="34" customFormat="false" ht="79.85" hidden="false" customHeight="false" outlineLevel="0" collapsed="false">
      <c r="A34" s="7" t="s">
        <v>220</v>
      </c>
      <c r="B34" s="7" t="s">
        <v>40</v>
      </c>
      <c r="C34" s="7" t="s">
        <v>41</v>
      </c>
      <c r="D34" s="7" t="s">
        <v>41</v>
      </c>
      <c r="E34" s="7" t="n">
        <v>3</v>
      </c>
      <c r="F34" s="8" t="n">
        <v>1</v>
      </c>
      <c r="G34" s="8" t="n">
        <v>1</v>
      </c>
      <c r="H34" s="8" t="n">
        <v>1</v>
      </c>
      <c r="I34" s="7" t="s">
        <v>42</v>
      </c>
      <c r="J34" s="7" t="s">
        <v>43</v>
      </c>
      <c r="K34" s="9" t="s">
        <v>221</v>
      </c>
      <c r="L34" s="7" t="s">
        <v>222</v>
      </c>
      <c r="M34" s="7" t="s">
        <v>222</v>
      </c>
      <c r="N34" s="10" t="n">
        <v>31.7</v>
      </c>
      <c r="O34" s="9" t="s">
        <v>223</v>
      </c>
      <c r="P34" s="9" t="s">
        <v>224</v>
      </c>
      <c r="Q34" s="9" t="s">
        <v>225</v>
      </c>
    </row>
    <row r="35" customFormat="false" ht="46.25" hidden="false" customHeight="false" outlineLevel="0" collapsed="false">
      <c r="A35" s="7" t="s">
        <v>226</v>
      </c>
      <c r="B35" s="7" t="s">
        <v>40</v>
      </c>
      <c r="C35" s="7" t="s">
        <v>41</v>
      </c>
      <c r="D35" s="7" t="s">
        <v>41</v>
      </c>
      <c r="E35" s="7" t="n">
        <v>1</v>
      </c>
      <c r="F35" s="8" t="n">
        <v>1</v>
      </c>
      <c r="G35" s="8" t="n">
        <v>1</v>
      </c>
      <c r="H35" s="8" t="n">
        <v>1</v>
      </c>
      <c r="I35" s="7" t="s">
        <v>42</v>
      </c>
      <c r="J35" s="7" t="s">
        <v>43</v>
      </c>
      <c r="K35" s="9" t="s">
        <v>50</v>
      </c>
      <c r="L35" s="7" t="s">
        <v>51</v>
      </c>
      <c r="M35" s="7" t="s">
        <v>51</v>
      </c>
      <c r="N35" s="10" t="n">
        <v>36.7</v>
      </c>
      <c r="O35" s="9" t="s">
        <v>227</v>
      </c>
      <c r="P35" s="9" t="s">
        <v>228</v>
      </c>
      <c r="Q35" s="9" t="s">
        <v>229</v>
      </c>
    </row>
    <row r="36" customFormat="false" ht="113.4" hidden="false" customHeight="false" outlineLevel="0" collapsed="false">
      <c r="A36" s="7" t="s">
        <v>230</v>
      </c>
      <c r="B36" s="7" t="s">
        <v>80</v>
      </c>
      <c r="C36" s="7" t="s">
        <v>81</v>
      </c>
      <c r="D36" s="7" t="s">
        <v>81</v>
      </c>
      <c r="E36" s="7" t="n">
        <v>7</v>
      </c>
      <c r="F36" s="8"/>
      <c r="G36" s="8" t="n">
        <v>1</v>
      </c>
      <c r="H36" s="8" t="n">
        <v>0.875</v>
      </c>
      <c r="I36" s="7" t="s">
        <v>96</v>
      </c>
      <c r="J36" s="7" t="s">
        <v>90</v>
      </c>
      <c r="K36" s="9" t="s">
        <v>91</v>
      </c>
      <c r="L36" s="7" t="s">
        <v>231</v>
      </c>
      <c r="M36" s="7" t="s">
        <v>232</v>
      </c>
      <c r="N36" s="10" t="n">
        <v>60.2</v>
      </c>
      <c r="O36" s="9" t="s">
        <v>233</v>
      </c>
      <c r="P36" s="9" t="s">
        <v>234</v>
      </c>
      <c r="Q36" s="9" t="s">
        <v>235</v>
      </c>
    </row>
    <row r="37" customFormat="false" ht="102.2" hidden="false" customHeight="false" outlineLevel="0" collapsed="false">
      <c r="A37" s="7" t="s">
        <v>236</v>
      </c>
      <c r="B37" s="7" t="s">
        <v>80</v>
      </c>
      <c r="C37" s="7" t="s">
        <v>81</v>
      </c>
      <c r="D37" s="7" t="s">
        <v>81</v>
      </c>
      <c r="E37" s="7" t="n">
        <v>4</v>
      </c>
      <c r="F37" s="8"/>
      <c r="G37" s="8" t="n">
        <v>0.5</v>
      </c>
      <c r="H37" s="8" t="n">
        <v>0.75</v>
      </c>
      <c r="I37" s="7" t="s">
        <v>42</v>
      </c>
      <c r="J37" s="7" t="s">
        <v>90</v>
      </c>
      <c r="K37" s="9" t="s">
        <v>91</v>
      </c>
      <c r="L37" s="7" t="s">
        <v>84</v>
      </c>
      <c r="M37" s="7" t="s">
        <v>85</v>
      </c>
      <c r="N37" s="10" t="n">
        <v>62</v>
      </c>
      <c r="O37" s="9" t="s">
        <v>237</v>
      </c>
      <c r="P37" s="9" t="s">
        <v>238</v>
      </c>
      <c r="Q37" s="9" t="s">
        <v>239</v>
      </c>
    </row>
    <row r="38" customFormat="false" ht="102.2" hidden="false" customHeight="false" outlineLevel="0" collapsed="false">
      <c r="A38" s="7" t="s">
        <v>240</v>
      </c>
      <c r="B38" s="7" t="s">
        <v>80</v>
      </c>
      <c r="C38" s="7" t="s">
        <v>81</v>
      </c>
      <c r="D38" s="7" t="s">
        <v>81</v>
      </c>
      <c r="E38" s="7" t="n">
        <v>9</v>
      </c>
      <c r="F38" s="8"/>
      <c r="G38" s="8" t="n">
        <v>0.5</v>
      </c>
      <c r="H38" s="8" t="n">
        <v>0.5</v>
      </c>
      <c r="I38" s="7" t="s">
        <v>96</v>
      </c>
      <c r="J38" s="7" t="s">
        <v>90</v>
      </c>
      <c r="K38" s="9" t="s">
        <v>91</v>
      </c>
      <c r="L38" s="7" t="s">
        <v>231</v>
      </c>
      <c r="M38" s="7" t="s">
        <v>241</v>
      </c>
      <c r="N38" s="10" t="n">
        <v>84.5</v>
      </c>
      <c r="O38" s="9" t="s">
        <v>242</v>
      </c>
      <c r="P38" s="9" t="s">
        <v>243</v>
      </c>
      <c r="Q38" s="9" t="s">
        <v>244</v>
      </c>
    </row>
    <row r="39" customFormat="false" ht="79.85" hidden="false" customHeight="false" outlineLevel="0" collapsed="false">
      <c r="A39" s="7" t="s">
        <v>245</v>
      </c>
      <c r="B39" s="7" t="s">
        <v>103</v>
      </c>
      <c r="C39" s="7" t="s">
        <v>82</v>
      </c>
      <c r="D39" s="7" t="s">
        <v>82</v>
      </c>
      <c r="E39" s="7" t="n">
        <v>4</v>
      </c>
      <c r="F39" s="8" t="n">
        <v>0.5</v>
      </c>
      <c r="G39" s="8" t="n">
        <v>0.5</v>
      </c>
      <c r="H39" s="8" t="n">
        <v>0</v>
      </c>
      <c r="I39" s="7" t="s">
        <v>42</v>
      </c>
      <c r="J39" s="7" t="s">
        <v>43</v>
      </c>
      <c r="K39" s="9" t="s">
        <v>246</v>
      </c>
      <c r="L39" s="7" t="s">
        <v>247</v>
      </c>
      <c r="M39" s="7" t="s">
        <v>248</v>
      </c>
      <c r="N39" s="10" t="n">
        <v>63.8</v>
      </c>
      <c r="O39" s="9" t="s">
        <v>249</v>
      </c>
      <c r="P39" s="9" t="s">
        <v>250</v>
      </c>
      <c r="Q39" s="9" t="s">
        <v>251</v>
      </c>
    </row>
    <row r="40" customFormat="false" ht="68.65" hidden="false" customHeight="false" outlineLevel="0" collapsed="false">
      <c r="A40" s="7" t="s">
        <v>252</v>
      </c>
      <c r="B40" s="7" t="s">
        <v>103</v>
      </c>
      <c r="C40" s="7" t="s">
        <v>82</v>
      </c>
      <c r="D40" s="7" t="s">
        <v>82</v>
      </c>
      <c r="E40" s="7" t="n">
        <v>4</v>
      </c>
      <c r="F40" s="8" t="n">
        <v>0.5</v>
      </c>
      <c r="G40" s="8" t="n">
        <v>0.5</v>
      </c>
      <c r="H40" s="8" t="n">
        <v>1</v>
      </c>
      <c r="I40" s="7" t="s">
        <v>42</v>
      </c>
      <c r="J40" s="7" t="s">
        <v>43</v>
      </c>
      <c r="K40" s="9" t="s">
        <v>253</v>
      </c>
      <c r="L40" s="7" t="s">
        <v>254</v>
      </c>
      <c r="M40" s="7" t="s">
        <v>254</v>
      </c>
      <c r="N40" s="10" t="n">
        <v>82.2</v>
      </c>
      <c r="O40" s="9" t="s">
        <v>255</v>
      </c>
      <c r="P40" s="9" t="s">
        <v>256</v>
      </c>
      <c r="Q40" s="9" t="s">
        <v>257</v>
      </c>
    </row>
    <row r="41" customFormat="false" ht="79.85" hidden="false" customHeight="false" outlineLevel="0" collapsed="false">
      <c r="A41" s="7" t="s">
        <v>258</v>
      </c>
      <c r="B41" s="7" t="s">
        <v>103</v>
      </c>
      <c r="C41" s="7" t="s">
        <v>82</v>
      </c>
      <c r="D41" s="7" t="s">
        <v>82</v>
      </c>
      <c r="E41" s="7" t="n">
        <v>3</v>
      </c>
      <c r="F41" s="8" t="n">
        <v>0</v>
      </c>
      <c r="G41" s="8" t="n">
        <v>0.5</v>
      </c>
      <c r="H41" s="8" t="n">
        <v>0.6</v>
      </c>
      <c r="I41" s="7" t="s">
        <v>42</v>
      </c>
      <c r="J41" s="7" t="s">
        <v>43</v>
      </c>
      <c r="K41" s="9" t="s">
        <v>259</v>
      </c>
      <c r="L41" s="7" t="s">
        <v>260</v>
      </c>
      <c r="M41" s="7" t="s">
        <v>261</v>
      </c>
      <c r="N41" s="10" t="n">
        <v>45.6</v>
      </c>
      <c r="O41" s="9" t="s">
        <v>262</v>
      </c>
      <c r="P41" s="9" t="s">
        <v>263</v>
      </c>
      <c r="Q41" s="9" t="s">
        <v>264</v>
      </c>
    </row>
    <row r="42" customFormat="false" ht="79.85" hidden="false" customHeight="false" outlineLevel="0" collapsed="false">
      <c r="A42" s="7" t="s">
        <v>265</v>
      </c>
      <c r="B42" s="7" t="s">
        <v>103</v>
      </c>
      <c r="C42" s="7" t="s">
        <v>82</v>
      </c>
      <c r="D42" s="7" t="s">
        <v>82</v>
      </c>
      <c r="E42" s="7" t="n">
        <v>5</v>
      </c>
      <c r="F42" s="8" t="n">
        <v>1</v>
      </c>
      <c r="G42" s="8" t="n">
        <v>1</v>
      </c>
      <c r="H42" s="8" t="n">
        <v>1</v>
      </c>
      <c r="I42" s="7" t="s">
        <v>42</v>
      </c>
      <c r="J42" s="7" t="s">
        <v>43</v>
      </c>
      <c r="K42" s="9" t="s">
        <v>104</v>
      </c>
      <c r="L42" s="7" t="s">
        <v>105</v>
      </c>
      <c r="M42" s="7" t="s">
        <v>105</v>
      </c>
      <c r="N42" s="10" t="n">
        <v>49.6</v>
      </c>
      <c r="O42" s="9" t="s">
        <v>266</v>
      </c>
      <c r="P42" s="9" t="s">
        <v>267</v>
      </c>
      <c r="Q42" s="9" t="s">
        <v>268</v>
      </c>
    </row>
    <row r="43" customFormat="false" ht="91" hidden="false" customHeight="false" outlineLevel="0" collapsed="false">
      <c r="A43" s="7" t="s">
        <v>269</v>
      </c>
      <c r="B43" s="7" t="s">
        <v>138</v>
      </c>
      <c r="C43" s="7" t="s">
        <v>138</v>
      </c>
      <c r="D43" s="7" t="s">
        <v>81</v>
      </c>
      <c r="E43" s="7" t="n">
        <v>5</v>
      </c>
      <c r="F43" s="8" t="n">
        <v>1</v>
      </c>
      <c r="G43" s="8" t="n">
        <v>1</v>
      </c>
      <c r="H43" s="8" t="n">
        <v>0.8</v>
      </c>
      <c r="I43" s="7" t="s">
        <v>42</v>
      </c>
      <c r="J43" s="7" t="s">
        <v>43</v>
      </c>
      <c r="K43" s="9" t="s">
        <v>146</v>
      </c>
      <c r="L43" s="7" t="s">
        <v>57</v>
      </c>
      <c r="M43" s="7" t="s">
        <v>247</v>
      </c>
      <c r="N43" s="10" t="n">
        <v>60.2</v>
      </c>
      <c r="O43" s="9" t="s">
        <v>270</v>
      </c>
      <c r="P43" s="9" t="s">
        <v>271</v>
      </c>
      <c r="Q43" s="9" t="s">
        <v>272</v>
      </c>
    </row>
    <row r="44" customFormat="false" ht="57.45" hidden="false" customHeight="false" outlineLevel="0" collapsed="false">
      <c r="A44" s="7" t="s">
        <v>273</v>
      </c>
      <c r="B44" s="7" t="s">
        <v>138</v>
      </c>
      <c r="C44" s="7" t="s">
        <v>138</v>
      </c>
      <c r="D44" s="7" t="s">
        <v>274</v>
      </c>
      <c r="E44" s="7" t="n">
        <v>5</v>
      </c>
      <c r="F44" s="8" t="n">
        <v>1</v>
      </c>
      <c r="G44" s="8" t="n">
        <v>1</v>
      </c>
      <c r="H44" s="8" t="n">
        <v>1</v>
      </c>
      <c r="I44" s="7" t="s">
        <v>42</v>
      </c>
      <c r="J44" s="7" t="s">
        <v>90</v>
      </c>
      <c r="K44" s="9" t="s">
        <v>139</v>
      </c>
      <c r="L44" s="7" t="s">
        <v>51</v>
      </c>
      <c r="M44" s="7" t="s">
        <v>275</v>
      </c>
      <c r="N44" s="10" t="n">
        <v>112.1</v>
      </c>
      <c r="O44" s="9" t="s">
        <v>276</v>
      </c>
      <c r="P44" s="9" t="s">
        <v>277</v>
      </c>
      <c r="Q44" s="9" t="s">
        <v>278</v>
      </c>
    </row>
    <row r="45" customFormat="false" ht="68.65" hidden="false" customHeight="false" outlineLevel="0" collapsed="false">
      <c r="A45" s="7" t="s">
        <v>279</v>
      </c>
      <c r="B45" s="7" t="s">
        <v>138</v>
      </c>
      <c r="C45" s="7" t="s">
        <v>138</v>
      </c>
      <c r="D45" s="7" t="s">
        <v>81</v>
      </c>
      <c r="E45" s="7" t="n">
        <v>5</v>
      </c>
      <c r="F45" s="8" t="n">
        <v>1</v>
      </c>
      <c r="G45" s="8" t="n">
        <v>1</v>
      </c>
      <c r="H45" s="8" t="n">
        <v>1</v>
      </c>
      <c r="I45" s="7" t="s">
        <v>96</v>
      </c>
      <c r="J45" s="7" t="s">
        <v>90</v>
      </c>
      <c r="K45" s="9" t="s">
        <v>139</v>
      </c>
      <c r="L45" s="7" t="s">
        <v>111</v>
      </c>
      <c r="M45" s="7" t="s">
        <v>280</v>
      </c>
      <c r="N45" s="10" t="n">
        <v>54.5</v>
      </c>
      <c r="O45" s="9" t="s">
        <v>281</v>
      </c>
      <c r="P45" s="9" t="s">
        <v>282</v>
      </c>
      <c r="Q45" s="9" t="s">
        <v>283</v>
      </c>
    </row>
    <row r="46" customFormat="false" ht="68.65" hidden="false" customHeight="false" outlineLevel="0" collapsed="false">
      <c r="A46" s="7" t="s">
        <v>284</v>
      </c>
      <c r="B46" s="7" t="s">
        <v>138</v>
      </c>
      <c r="C46" s="7" t="s">
        <v>138</v>
      </c>
      <c r="D46" s="7" t="s">
        <v>81</v>
      </c>
      <c r="E46" s="7" t="n">
        <v>4</v>
      </c>
      <c r="F46" s="8" t="n">
        <v>1</v>
      </c>
      <c r="G46" s="8" t="n">
        <v>1</v>
      </c>
      <c r="H46" s="8" t="n">
        <v>1</v>
      </c>
      <c r="I46" s="7" t="s">
        <v>42</v>
      </c>
      <c r="J46" s="7" t="s">
        <v>90</v>
      </c>
      <c r="K46" s="9" t="s">
        <v>152</v>
      </c>
      <c r="L46" s="7" t="s">
        <v>75</v>
      </c>
      <c r="M46" s="7" t="s">
        <v>285</v>
      </c>
      <c r="N46" s="10" t="n">
        <v>38.8</v>
      </c>
      <c r="O46" s="9" t="s">
        <v>286</v>
      </c>
      <c r="P46" s="9" t="s">
        <v>287</v>
      </c>
      <c r="Q46" s="9" t="s">
        <v>288</v>
      </c>
    </row>
    <row r="47" customFormat="false" ht="57.45" hidden="false" customHeight="false" outlineLevel="0" collapsed="false">
      <c r="A47" s="7" t="s">
        <v>289</v>
      </c>
      <c r="B47" s="7" t="s">
        <v>123</v>
      </c>
      <c r="C47" s="7" t="s">
        <v>124</v>
      </c>
      <c r="D47" s="7" t="s">
        <v>124</v>
      </c>
      <c r="E47" s="7" t="n">
        <v>7</v>
      </c>
      <c r="F47" s="8" t="n">
        <v>1</v>
      </c>
      <c r="G47" s="8" t="n">
        <v>1</v>
      </c>
      <c r="H47" s="8" t="n">
        <v>1</v>
      </c>
      <c r="I47" s="7" t="s">
        <v>42</v>
      </c>
      <c r="J47" s="7" t="s">
        <v>43</v>
      </c>
      <c r="K47" s="9" t="s">
        <v>125</v>
      </c>
      <c r="L47" s="7" t="s">
        <v>126</v>
      </c>
      <c r="M47" s="7" t="s">
        <v>290</v>
      </c>
      <c r="N47" s="10" t="n">
        <v>88.3</v>
      </c>
      <c r="O47" s="9" t="s">
        <v>291</v>
      </c>
      <c r="P47" s="9" t="s">
        <v>292</v>
      </c>
      <c r="Q47" s="9" t="s">
        <v>293</v>
      </c>
    </row>
    <row r="48" customFormat="false" ht="79.85" hidden="false" customHeight="false" outlineLevel="0" collapsed="false">
      <c r="A48" s="7" t="s">
        <v>294</v>
      </c>
      <c r="B48" s="7" t="s">
        <v>123</v>
      </c>
      <c r="C48" s="7" t="s">
        <v>124</v>
      </c>
      <c r="D48" s="7" t="s">
        <v>124</v>
      </c>
      <c r="E48" s="7" t="n">
        <v>3</v>
      </c>
      <c r="F48" s="8" t="n">
        <v>0</v>
      </c>
      <c r="G48" s="8" t="n">
        <v>0</v>
      </c>
      <c r="H48" s="8" t="n">
        <v>1</v>
      </c>
      <c r="I48" s="7" t="s">
        <v>42</v>
      </c>
      <c r="J48" s="7" t="s">
        <v>43</v>
      </c>
      <c r="K48" s="9" t="s">
        <v>132</v>
      </c>
      <c r="L48" s="7" t="s">
        <v>126</v>
      </c>
      <c r="M48" s="7" t="s">
        <v>295</v>
      </c>
      <c r="N48" s="10" t="n">
        <v>50.9</v>
      </c>
      <c r="O48" s="9" t="s">
        <v>296</v>
      </c>
      <c r="P48" s="9" t="s">
        <v>297</v>
      </c>
      <c r="Q48" s="9" t="s">
        <v>298</v>
      </c>
    </row>
    <row r="49" customFormat="false" ht="68.65" hidden="false" customHeight="false" outlineLevel="0" collapsed="false">
      <c r="A49" s="7" t="s">
        <v>299</v>
      </c>
      <c r="B49" s="7" t="s">
        <v>157</v>
      </c>
      <c r="C49" s="7" t="s">
        <v>41</v>
      </c>
      <c r="D49" s="7" t="s">
        <v>41</v>
      </c>
      <c r="E49" s="7" t="n">
        <v>2</v>
      </c>
      <c r="F49" s="8" t="n">
        <v>0</v>
      </c>
      <c r="G49" s="8" t="n">
        <v>0.333333333333333</v>
      </c>
      <c r="H49" s="8" t="n">
        <v>0</v>
      </c>
      <c r="I49" s="7" t="s">
        <v>42</v>
      </c>
      <c r="J49" s="7" t="s">
        <v>43</v>
      </c>
      <c r="K49" s="9" t="s">
        <v>56</v>
      </c>
      <c r="L49" s="7" t="s">
        <v>57</v>
      </c>
      <c r="M49" s="7" t="s">
        <v>57</v>
      </c>
      <c r="N49" s="10" t="n">
        <v>36</v>
      </c>
      <c r="O49" s="9" t="s">
        <v>300</v>
      </c>
      <c r="P49" s="9" t="s">
        <v>301</v>
      </c>
      <c r="Q49" s="9" t="s">
        <v>302</v>
      </c>
    </row>
    <row r="50" customFormat="false" ht="79.85" hidden="false" customHeight="false" outlineLevel="0" collapsed="false">
      <c r="A50" s="7" t="s">
        <v>303</v>
      </c>
      <c r="B50" s="7" t="s">
        <v>157</v>
      </c>
      <c r="C50" s="7" t="s">
        <v>41</v>
      </c>
      <c r="D50" s="7" t="s">
        <v>41</v>
      </c>
      <c r="E50" s="7" t="n">
        <v>3</v>
      </c>
      <c r="F50" s="8" t="n">
        <v>1</v>
      </c>
      <c r="G50" s="8" t="n">
        <v>1</v>
      </c>
      <c r="H50" s="8" t="n">
        <v>1</v>
      </c>
      <c r="I50" s="7" t="s">
        <v>42</v>
      </c>
      <c r="J50" s="7" t="s">
        <v>43</v>
      </c>
      <c r="K50" s="9" t="s">
        <v>200</v>
      </c>
      <c r="L50" s="7" t="s">
        <v>126</v>
      </c>
      <c r="M50" s="7" t="s">
        <v>126</v>
      </c>
      <c r="N50" s="10" t="n">
        <v>49.1</v>
      </c>
      <c r="O50" s="9" t="s">
        <v>304</v>
      </c>
      <c r="P50" s="9" t="s">
        <v>305</v>
      </c>
      <c r="Q50" s="9" t="s">
        <v>306</v>
      </c>
    </row>
    <row r="51" customFormat="false" ht="91" hidden="false" customHeight="false" outlineLevel="0" collapsed="false">
      <c r="A51" s="7" t="s">
        <v>307</v>
      </c>
      <c r="B51" s="7" t="s">
        <v>157</v>
      </c>
      <c r="C51" s="7" t="s">
        <v>41</v>
      </c>
      <c r="D51" s="7" t="s">
        <v>41</v>
      </c>
      <c r="E51" s="7" t="n">
        <v>2</v>
      </c>
      <c r="F51" s="8" t="n">
        <v>0.5</v>
      </c>
      <c r="G51" s="8" t="n">
        <v>0</v>
      </c>
      <c r="H51" s="8" t="n">
        <v>0.333333333333333</v>
      </c>
      <c r="I51" s="7" t="s">
        <v>42</v>
      </c>
      <c r="J51" s="7" t="s">
        <v>43</v>
      </c>
      <c r="K51" s="9" t="s">
        <v>68</v>
      </c>
      <c r="L51" s="7" t="s">
        <v>69</v>
      </c>
      <c r="M51" s="7" t="s">
        <v>69</v>
      </c>
      <c r="N51" s="10" t="n">
        <v>24.2</v>
      </c>
      <c r="O51" s="9" t="s">
        <v>308</v>
      </c>
      <c r="P51" s="9" t="s">
        <v>309</v>
      </c>
      <c r="Q51" s="9" t="s">
        <v>310</v>
      </c>
    </row>
  </sheetData>
  <autoFilter ref="A3:Q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22"/>
    <col collapsed="false" customWidth="true" hidden="false" outlineLevel="0" max="4" min="4" style="0" width="34"/>
    <col collapsed="false" customWidth="true" hidden="false" outlineLevel="0" max="5" min="5" style="0" width="26"/>
    <col collapsed="false" customWidth="true" hidden="false" outlineLevel="0" max="6" min="6" style="0" width="8"/>
    <col collapsed="false" customWidth="true" hidden="false" outlineLevel="0" max="7" min="7" style="0" width="9"/>
    <col collapsed="false" customWidth="true" hidden="false" outlineLevel="0" max="8" min="8" style="0" width="11"/>
    <col collapsed="false" customWidth="true" hidden="false" outlineLevel="0" max="9" min="9" style="0" width="8"/>
    <col collapsed="false" customWidth="true" hidden="false" outlineLevel="0" max="10" min="10" style="0" width="14"/>
    <col collapsed="false" customWidth="true" hidden="false" outlineLevel="0" max="11" min="11" style="0" width="60"/>
    <col collapsed="false" customWidth="true" hidden="false" outlineLevel="0" max="12" min="12" style="0" width="100"/>
  </cols>
  <sheetData>
    <row r="1" customFormat="false" ht="15" hidden="false" customHeight="false" outlineLevel="0" collapsed="false">
      <c r="A1" s="1" t="s">
        <v>311</v>
      </c>
    </row>
    <row r="3" customFormat="false" ht="15" hidden="false" customHeight="false" outlineLevel="0" collapsed="false">
      <c r="A3" s="6" t="s">
        <v>22</v>
      </c>
      <c r="B3" s="6" t="s">
        <v>312</v>
      </c>
      <c r="C3" s="6" t="s">
        <v>313</v>
      </c>
      <c r="D3" s="6" t="s">
        <v>314</v>
      </c>
      <c r="E3" s="6" t="s">
        <v>315</v>
      </c>
      <c r="F3" s="6" t="s">
        <v>316</v>
      </c>
      <c r="G3" s="6" t="s">
        <v>317</v>
      </c>
      <c r="H3" s="6" t="s">
        <v>318</v>
      </c>
      <c r="I3" s="6" t="s">
        <v>28</v>
      </c>
      <c r="J3" s="6" t="s">
        <v>31</v>
      </c>
      <c r="K3" s="6" t="s">
        <v>36</v>
      </c>
      <c r="L3" s="6" t="s">
        <v>319</v>
      </c>
    </row>
    <row r="4" customFormat="false" ht="270.1" hidden="false" customHeight="false" outlineLevel="0" collapsed="false">
      <c r="A4" s="7" t="s">
        <v>39</v>
      </c>
      <c r="B4" s="7" t="s">
        <v>320</v>
      </c>
      <c r="C4" s="7" t="s">
        <v>45</v>
      </c>
      <c r="D4" s="7" t="s">
        <v>321</v>
      </c>
      <c r="E4" s="7" t="s">
        <v>322</v>
      </c>
      <c r="F4" s="7" t="n">
        <v>2239</v>
      </c>
      <c r="G4" s="7" t="n">
        <v>1</v>
      </c>
      <c r="H4" s="8" t="n">
        <v>6.69664096832275</v>
      </c>
      <c r="I4" s="8" t="n">
        <v>0</v>
      </c>
      <c r="J4" s="7" t="s">
        <v>43</v>
      </c>
      <c r="K4" s="9" t="s">
        <v>46</v>
      </c>
      <c r="L4" s="9" t="s">
        <v>323</v>
      </c>
    </row>
    <row r="5" customFormat="false" ht="91" hidden="false" customHeight="false" outlineLevel="0" collapsed="false">
      <c r="A5" s="7" t="s">
        <v>39</v>
      </c>
      <c r="B5" s="7" t="s">
        <v>324</v>
      </c>
      <c r="C5" s="7" t="s">
        <v>45</v>
      </c>
      <c r="D5" s="7" t="s">
        <v>325</v>
      </c>
      <c r="E5" s="7" t="s">
        <v>326</v>
      </c>
      <c r="F5" s="7" t="n">
        <v>500</v>
      </c>
      <c r="G5" s="7" t="n">
        <v>1</v>
      </c>
      <c r="H5" s="8" t="n">
        <v>5.86946487426758</v>
      </c>
      <c r="I5" s="8" t="n">
        <v>0</v>
      </c>
      <c r="J5" s="7" t="s">
        <v>43</v>
      </c>
      <c r="K5" s="9" t="s">
        <v>46</v>
      </c>
      <c r="L5" s="9" t="s">
        <v>327</v>
      </c>
    </row>
    <row r="6" customFormat="false" ht="258.95" hidden="false" customHeight="false" outlineLevel="0" collapsed="false">
      <c r="A6" s="7" t="s">
        <v>39</v>
      </c>
      <c r="B6" s="7" t="s">
        <v>328</v>
      </c>
      <c r="C6" s="7" t="s">
        <v>45</v>
      </c>
      <c r="D6" s="7" t="s">
        <v>329</v>
      </c>
      <c r="E6" s="7" t="s">
        <v>330</v>
      </c>
      <c r="F6" s="7" t="n">
        <v>2223</v>
      </c>
      <c r="G6" s="7" t="n">
        <v>2</v>
      </c>
      <c r="H6" s="8" t="n">
        <v>5.46145629882813</v>
      </c>
      <c r="I6" s="8" t="n">
        <v>0</v>
      </c>
      <c r="J6" s="7" t="s">
        <v>43</v>
      </c>
      <c r="K6" s="9" t="s">
        <v>46</v>
      </c>
      <c r="L6" s="9" t="s">
        <v>331</v>
      </c>
    </row>
    <row r="7" customFormat="false" ht="113.4" hidden="false" customHeight="false" outlineLevel="0" collapsed="false">
      <c r="A7" s="7" t="s">
        <v>39</v>
      </c>
      <c r="B7" s="7" t="s">
        <v>332</v>
      </c>
      <c r="C7" s="7" t="s">
        <v>45</v>
      </c>
      <c r="D7" s="7" t="s">
        <v>333</v>
      </c>
      <c r="E7" s="7" t="s">
        <v>334</v>
      </c>
      <c r="F7" s="7" t="n">
        <v>487</v>
      </c>
      <c r="G7" s="7" t="n">
        <v>1</v>
      </c>
      <c r="H7" s="8" t="n">
        <v>4.70943880081177</v>
      </c>
      <c r="I7" s="8" t="n">
        <v>0</v>
      </c>
      <c r="J7" s="7" t="s">
        <v>43</v>
      </c>
      <c r="K7" s="9" t="s">
        <v>46</v>
      </c>
      <c r="L7" s="9" t="s">
        <v>335</v>
      </c>
    </row>
    <row r="8" customFormat="false" ht="68.65" hidden="false" customHeight="false" outlineLevel="0" collapsed="false">
      <c r="A8" s="7" t="s">
        <v>49</v>
      </c>
      <c r="B8" s="7" t="s">
        <v>320</v>
      </c>
      <c r="C8" s="7" t="s">
        <v>51</v>
      </c>
      <c r="D8" s="7" t="s">
        <v>336</v>
      </c>
      <c r="E8" s="7" t="s">
        <v>337</v>
      </c>
      <c r="F8" s="7" t="n">
        <v>467</v>
      </c>
      <c r="G8" s="7" t="n">
        <v>1</v>
      </c>
      <c r="H8" s="8" t="n">
        <v>2.91366386413574</v>
      </c>
      <c r="I8" s="8" t="n">
        <v>0</v>
      </c>
      <c r="J8" s="7" t="s">
        <v>43</v>
      </c>
      <c r="K8" s="9" t="s">
        <v>52</v>
      </c>
      <c r="L8" s="9" t="s">
        <v>338</v>
      </c>
    </row>
    <row r="9" customFormat="false" ht="147" hidden="false" customHeight="false" outlineLevel="0" collapsed="false">
      <c r="A9" s="7" t="s">
        <v>49</v>
      </c>
      <c r="B9" s="7" t="s">
        <v>324</v>
      </c>
      <c r="C9" s="7" t="s">
        <v>51</v>
      </c>
      <c r="D9" s="7" t="s">
        <v>339</v>
      </c>
      <c r="E9" s="7" t="s">
        <v>340</v>
      </c>
      <c r="F9" s="7" t="n">
        <v>885</v>
      </c>
      <c r="G9" s="7" t="n">
        <v>1</v>
      </c>
      <c r="H9" s="8" t="n">
        <v>3.25018262863159</v>
      </c>
      <c r="I9" s="8" t="n">
        <v>0</v>
      </c>
      <c r="J9" s="7" t="s">
        <v>43</v>
      </c>
      <c r="K9" s="9" t="s">
        <v>52</v>
      </c>
      <c r="L9" s="9" t="s">
        <v>341</v>
      </c>
    </row>
    <row r="10" customFormat="false" ht="482.8" hidden="false" customHeight="false" outlineLevel="0" collapsed="false">
      <c r="A10" s="7" t="s">
        <v>49</v>
      </c>
      <c r="B10" s="7" t="s">
        <v>328</v>
      </c>
      <c r="C10" s="7" t="s">
        <v>51</v>
      </c>
      <c r="D10" s="7" t="s">
        <v>342</v>
      </c>
      <c r="E10" s="7" t="s">
        <v>343</v>
      </c>
      <c r="F10" s="7" t="n">
        <v>4456</v>
      </c>
      <c r="G10" s="7" t="n">
        <v>1</v>
      </c>
      <c r="H10" s="8" t="n">
        <v>4.40293407440186</v>
      </c>
      <c r="I10" s="8" t="n">
        <v>0</v>
      </c>
      <c r="J10" s="7" t="s">
        <v>43</v>
      </c>
      <c r="K10" s="9" t="s">
        <v>52</v>
      </c>
      <c r="L10" s="9" t="s">
        <v>344</v>
      </c>
    </row>
    <row r="11" customFormat="false" ht="337.3" hidden="false" customHeight="false" outlineLevel="0" collapsed="false">
      <c r="A11" s="7" t="s">
        <v>49</v>
      </c>
      <c r="B11" s="7" t="s">
        <v>332</v>
      </c>
      <c r="C11" s="7" t="s">
        <v>51</v>
      </c>
      <c r="D11" s="7" t="s">
        <v>345</v>
      </c>
      <c r="E11" s="7" t="s">
        <v>346</v>
      </c>
      <c r="F11" s="7" t="n">
        <v>2048</v>
      </c>
      <c r="G11" s="7" t="n">
        <v>1</v>
      </c>
      <c r="H11" s="8" t="n">
        <v>4.28861856460571</v>
      </c>
      <c r="I11" s="8" t="n">
        <v>0</v>
      </c>
      <c r="J11" s="7" t="s">
        <v>43</v>
      </c>
      <c r="K11" s="9" t="s">
        <v>52</v>
      </c>
      <c r="L11" s="9" t="s">
        <v>347</v>
      </c>
    </row>
    <row r="12" customFormat="false" ht="348.5" hidden="false" customHeight="false" outlineLevel="0" collapsed="false">
      <c r="A12" s="7" t="s">
        <v>49</v>
      </c>
      <c r="B12" s="7" t="s">
        <v>348</v>
      </c>
      <c r="C12" s="7" t="s">
        <v>51</v>
      </c>
      <c r="D12" s="7" t="s">
        <v>349</v>
      </c>
      <c r="E12" s="7" t="s">
        <v>350</v>
      </c>
      <c r="F12" s="7" t="n">
        <v>3492</v>
      </c>
      <c r="G12" s="7" t="n">
        <v>1</v>
      </c>
      <c r="H12" s="8" t="n">
        <v>4.05167102813721</v>
      </c>
      <c r="I12" s="8" t="n">
        <v>0</v>
      </c>
      <c r="J12" s="7" t="s">
        <v>43</v>
      </c>
      <c r="K12" s="9" t="s">
        <v>52</v>
      </c>
      <c r="L12" s="9" t="s">
        <v>351</v>
      </c>
    </row>
    <row r="13" customFormat="false" ht="449.25" hidden="false" customHeight="false" outlineLevel="0" collapsed="false">
      <c r="A13" s="7" t="s">
        <v>55</v>
      </c>
      <c r="B13" s="7" t="s">
        <v>320</v>
      </c>
      <c r="C13" s="7" t="s">
        <v>57</v>
      </c>
      <c r="D13" s="7" t="s">
        <v>352</v>
      </c>
      <c r="E13" s="7" t="s">
        <v>353</v>
      </c>
      <c r="F13" s="7" t="n">
        <v>2313</v>
      </c>
      <c r="G13" s="7" t="n">
        <v>1</v>
      </c>
      <c r="H13" s="8" t="n">
        <v>1.85354268550873</v>
      </c>
      <c r="I13" s="8" t="n">
        <v>1</v>
      </c>
      <c r="J13" s="7" t="s">
        <v>43</v>
      </c>
      <c r="K13" s="9" t="s">
        <v>58</v>
      </c>
      <c r="L13" s="9" t="s">
        <v>354</v>
      </c>
    </row>
    <row r="14" customFormat="false" ht="79.85" hidden="false" customHeight="false" outlineLevel="0" collapsed="false">
      <c r="A14" s="7" t="s">
        <v>61</v>
      </c>
      <c r="B14" s="7" t="s">
        <v>320</v>
      </c>
      <c r="C14" s="7" t="s">
        <v>63</v>
      </c>
      <c r="D14" s="7" t="s">
        <v>355</v>
      </c>
      <c r="E14" s="7" t="s">
        <v>356</v>
      </c>
      <c r="F14" s="7" t="n">
        <v>549</v>
      </c>
      <c r="G14" s="7" t="n">
        <v>1</v>
      </c>
      <c r="H14" s="8" t="n">
        <v>4.21141481399536</v>
      </c>
      <c r="I14" s="8" t="n">
        <v>1</v>
      </c>
      <c r="J14" s="7" t="s">
        <v>43</v>
      </c>
      <c r="K14" s="9" t="s">
        <v>64</v>
      </c>
      <c r="L14" s="9" t="s">
        <v>357</v>
      </c>
    </row>
    <row r="15" customFormat="false" ht="270.1" hidden="false" customHeight="false" outlineLevel="0" collapsed="false">
      <c r="A15" s="7" t="s">
        <v>67</v>
      </c>
      <c r="B15" s="7" t="s">
        <v>320</v>
      </c>
      <c r="C15" s="7" t="s">
        <v>69</v>
      </c>
      <c r="D15" s="7" t="s">
        <v>358</v>
      </c>
      <c r="E15" s="7" t="s">
        <v>359</v>
      </c>
      <c r="F15" s="7" t="n">
        <v>2045</v>
      </c>
      <c r="G15" s="7" t="n">
        <v>2</v>
      </c>
      <c r="H15" s="8" t="n">
        <v>3.03271532058716</v>
      </c>
      <c r="I15" s="8" t="n">
        <v>1</v>
      </c>
      <c r="J15" s="7" t="s">
        <v>43</v>
      </c>
      <c r="K15" s="9" t="s">
        <v>70</v>
      </c>
      <c r="L15" s="9" t="s">
        <v>360</v>
      </c>
    </row>
    <row r="16" customFormat="false" ht="191.75" hidden="false" customHeight="false" outlineLevel="0" collapsed="false">
      <c r="A16" s="7" t="s">
        <v>67</v>
      </c>
      <c r="B16" s="7" t="s">
        <v>324</v>
      </c>
      <c r="C16" s="7" t="s">
        <v>69</v>
      </c>
      <c r="D16" s="7" t="s">
        <v>361</v>
      </c>
      <c r="E16" s="7" t="s">
        <v>362</v>
      </c>
      <c r="F16" s="7" t="n">
        <v>1186</v>
      </c>
      <c r="G16" s="7" t="n">
        <v>1</v>
      </c>
      <c r="H16" s="8" t="n">
        <v>0.77448832988739</v>
      </c>
      <c r="I16" s="8" t="n">
        <v>1</v>
      </c>
      <c r="J16" s="7" t="s">
        <v>43</v>
      </c>
      <c r="K16" s="9" t="s">
        <v>70</v>
      </c>
      <c r="L16" s="9" t="s">
        <v>363</v>
      </c>
    </row>
    <row r="17" customFormat="false" ht="460.4" hidden="false" customHeight="false" outlineLevel="0" collapsed="false">
      <c r="A17" s="7" t="s">
        <v>67</v>
      </c>
      <c r="B17" s="7" t="s">
        <v>328</v>
      </c>
      <c r="C17" s="7" t="s">
        <v>69</v>
      </c>
      <c r="D17" s="7" t="s">
        <v>364</v>
      </c>
      <c r="E17" s="7" t="s">
        <v>365</v>
      </c>
      <c r="F17" s="7" t="n">
        <v>4583</v>
      </c>
      <c r="G17" s="7" t="n">
        <v>1</v>
      </c>
      <c r="H17" s="8" t="n">
        <v>0.709686160087585</v>
      </c>
      <c r="I17" s="8" t="n">
        <v>1</v>
      </c>
      <c r="J17" s="7" t="s">
        <v>43</v>
      </c>
      <c r="K17" s="9" t="s">
        <v>70</v>
      </c>
      <c r="L17" s="9" t="s">
        <v>366</v>
      </c>
    </row>
    <row r="18" customFormat="false" ht="404.45" hidden="false" customHeight="false" outlineLevel="0" collapsed="false">
      <c r="A18" s="7" t="s">
        <v>67</v>
      </c>
      <c r="B18" s="7" t="s">
        <v>332</v>
      </c>
      <c r="C18" s="7" t="s">
        <v>69</v>
      </c>
      <c r="D18" s="7" t="s">
        <v>367</v>
      </c>
      <c r="E18" s="7" t="s">
        <v>368</v>
      </c>
      <c r="F18" s="7" t="n">
        <v>2279</v>
      </c>
      <c r="G18" s="7" t="n">
        <v>1</v>
      </c>
      <c r="H18" s="8" t="n">
        <v>1.93164086341858</v>
      </c>
      <c r="I18" s="8" t="n">
        <v>1</v>
      </c>
      <c r="J18" s="7" t="s">
        <v>43</v>
      </c>
      <c r="K18" s="9" t="s">
        <v>70</v>
      </c>
      <c r="L18" s="9" t="s">
        <v>369</v>
      </c>
    </row>
    <row r="19" customFormat="false" ht="214.15" hidden="false" customHeight="false" outlineLevel="0" collapsed="false">
      <c r="A19" s="7" t="s">
        <v>73</v>
      </c>
      <c r="B19" s="7" t="s">
        <v>320</v>
      </c>
      <c r="C19" s="7" t="s">
        <v>75</v>
      </c>
      <c r="D19" s="7" t="s">
        <v>370</v>
      </c>
      <c r="E19" s="7" t="s">
        <v>371</v>
      </c>
      <c r="F19" s="7" t="n">
        <v>1685</v>
      </c>
      <c r="G19" s="7" t="n">
        <v>1</v>
      </c>
      <c r="H19" s="8" t="n">
        <v>6.49530220031738</v>
      </c>
      <c r="I19" s="8" t="n">
        <v>1</v>
      </c>
      <c r="J19" s="7" t="s">
        <v>43</v>
      </c>
      <c r="K19" s="9" t="s">
        <v>76</v>
      </c>
      <c r="L19" s="9" t="s">
        <v>372</v>
      </c>
    </row>
    <row r="20" customFormat="false" ht="102.2" hidden="false" customHeight="false" outlineLevel="0" collapsed="false">
      <c r="A20" s="7" t="s">
        <v>73</v>
      </c>
      <c r="B20" s="7" t="s">
        <v>324</v>
      </c>
      <c r="C20" s="7" t="s">
        <v>75</v>
      </c>
      <c r="D20" s="7" t="s">
        <v>373</v>
      </c>
      <c r="E20" s="7" t="s">
        <v>374</v>
      </c>
      <c r="F20" s="7" t="n">
        <v>722</v>
      </c>
      <c r="G20" s="7" t="n">
        <v>1</v>
      </c>
      <c r="H20" s="8" t="n">
        <v>4.87706613540649</v>
      </c>
      <c r="I20" s="8" t="n">
        <v>1</v>
      </c>
      <c r="J20" s="7" t="s">
        <v>43</v>
      </c>
      <c r="K20" s="9" t="s">
        <v>76</v>
      </c>
      <c r="L20" s="9" t="s">
        <v>375</v>
      </c>
    </row>
    <row r="21" customFormat="false" ht="113.4" hidden="false" customHeight="false" outlineLevel="0" collapsed="false">
      <c r="A21" s="7" t="s">
        <v>73</v>
      </c>
      <c r="B21" s="7" t="s">
        <v>328</v>
      </c>
      <c r="C21" s="7" t="s">
        <v>75</v>
      </c>
      <c r="D21" s="7" t="s">
        <v>376</v>
      </c>
      <c r="E21" s="7" t="s">
        <v>377</v>
      </c>
      <c r="F21" s="7" t="n">
        <v>733</v>
      </c>
      <c r="G21" s="7" t="n">
        <v>1</v>
      </c>
      <c r="H21" s="8" t="n">
        <v>4.42139148712158</v>
      </c>
      <c r="I21" s="8" t="n">
        <v>1</v>
      </c>
      <c r="J21" s="7" t="s">
        <v>43</v>
      </c>
      <c r="K21" s="9" t="s">
        <v>76</v>
      </c>
      <c r="L21" s="9" t="s">
        <v>378</v>
      </c>
    </row>
    <row r="22" customFormat="false" ht="214.15" hidden="false" customHeight="false" outlineLevel="0" collapsed="false">
      <c r="A22" s="7" t="s">
        <v>73</v>
      </c>
      <c r="B22" s="7" t="s">
        <v>332</v>
      </c>
      <c r="C22" s="7" t="s">
        <v>75</v>
      </c>
      <c r="D22" s="7" t="s">
        <v>379</v>
      </c>
      <c r="E22" s="7" t="s">
        <v>380</v>
      </c>
      <c r="F22" s="7" t="n">
        <v>1824</v>
      </c>
      <c r="G22" s="7" t="n">
        <v>1</v>
      </c>
      <c r="H22" s="8" t="n">
        <v>3.86845588684082</v>
      </c>
      <c r="I22" s="8" t="n">
        <v>1</v>
      </c>
      <c r="J22" s="7" t="s">
        <v>43</v>
      </c>
      <c r="K22" s="9" t="s">
        <v>76</v>
      </c>
      <c r="L22" s="9" t="s">
        <v>381</v>
      </c>
    </row>
    <row r="23" customFormat="false" ht="124.6" hidden="false" customHeight="false" outlineLevel="0" collapsed="false">
      <c r="A23" s="7" t="s">
        <v>73</v>
      </c>
      <c r="B23" s="7" t="s">
        <v>348</v>
      </c>
      <c r="C23" s="7" t="s">
        <v>75</v>
      </c>
      <c r="D23" s="7" t="s">
        <v>382</v>
      </c>
      <c r="E23" s="7" t="s">
        <v>383</v>
      </c>
      <c r="F23" s="7" t="n">
        <v>1018</v>
      </c>
      <c r="G23" s="7" t="n">
        <v>1</v>
      </c>
      <c r="H23" s="8" t="n">
        <v>4.39252471923828</v>
      </c>
      <c r="I23" s="8" t="n">
        <v>1</v>
      </c>
      <c r="J23" s="7" t="s">
        <v>43</v>
      </c>
      <c r="K23" s="9" t="s">
        <v>76</v>
      </c>
      <c r="L23" s="9" t="s">
        <v>384</v>
      </c>
    </row>
    <row r="24" customFormat="false" ht="135.8" hidden="false" customHeight="false" outlineLevel="0" collapsed="false">
      <c r="A24" s="7" t="s">
        <v>79</v>
      </c>
      <c r="B24" s="7" t="s">
        <v>320</v>
      </c>
      <c r="C24" s="7" t="s">
        <v>63</v>
      </c>
      <c r="D24" s="7" t="s">
        <v>385</v>
      </c>
      <c r="E24" s="7" t="s">
        <v>386</v>
      </c>
      <c r="F24" s="7" t="n">
        <v>1204</v>
      </c>
      <c r="G24" s="7" t="n">
        <v>1</v>
      </c>
      <c r="H24" s="8" t="n">
        <v>-3.38260626792908</v>
      </c>
      <c r="I24" s="8" t="n">
        <v>1</v>
      </c>
      <c r="J24" s="7" t="s">
        <v>43</v>
      </c>
      <c r="K24" s="9" t="s">
        <v>86</v>
      </c>
      <c r="L24" s="9" t="s">
        <v>387</v>
      </c>
    </row>
    <row r="25" customFormat="false" ht="113.4" hidden="false" customHeight="false" outlineLevel="0" collapsed="false">
      <c r="A25" s="7" t="s">
        <v>79</v>
      </c>
      <c r="B25" s="7" t="s">
        <v>324</v>
      </c>
      <c r="C25" s="7" t="s">
        <v>69</v>
      </c>
      <c r="D25" s="7" t="s">
        <v>388</v>
      </c>
      <c r="E25" s="7" t="s">
        <v>389</v>
      </c>
      <c r="F25" s="7" t="n">
        <v>772</v>
      </c>
      <c r="G25" s="7" t="n">
        <v>1</v>
      </c>
      <c r="H25" s="8" t="n">
        <v>0.521517753601074</v>
      </c>
      <c r="I25" s="8" t="n">
        <v>1</v>
      </c>
      <c r="J25" s="7" t="s">
        <v>43</v>
      </c>
      <c r="K25" s="9" t="s">
        <v>86</v>
      </c>
      <c r="L25" s="9" t="s">
        <v>390</v>
      </c>
    </row>
    <row r="26" customFormat="false" ht="91" hidden="false" customHeight="false" outlineLevel="0" collapsed="false">
      <c r="A26" s="7" t="s">
        <v>79</v>
      </c>
      <c r="B26" s="7" t="s">
        <v>328</v>
      </c>
      <c r="C26" s="7" t="s">
        <v>63</v>
      </c>
      <c r="D26" s="7" t="s">
        <v>391</v>
      </c>
      <c r="E26" s="7" t="s">
        <v>392</v>
      </c>
      <c r="F26" s="7" t="n">
        <v>708</v>
      </c>
      <c r="G26" s="7" t="n">
        <v>1</v>
      </c>
      <c r="H26" s="8" t="n">
        <v>-3.74639105796814</v>
      </c>
      <c r="I26" s="8" t="n">
        <v>1</v>
      </c>
      <c r="J26" s="7" t="s">
        <v>43</v>
      </c>
      <c r="K26" s="9" t="s">
        <v>86</v>
      </c>
      <c r="L26" s="9" t="s">
        <v>393</v>
      </c>
    </row>
    <row r="27" customFormat="false" ht="79.85" hidden="false" customHeight="false" outlineLevel="0" collapsed="false">
      <c r="A27" s="7" t="s">
        <v>89</v>
      </c>
      <c r="B27" s="7" t="s">
        <v>320</v>
      </c>
      <c r="C27" s="7" t="s">
        <v>63</v>
      </c>
      <c r="D27" s="7" t="s">
        <v>355</v>
      </c>
      <c r="E27" s="7" t="s">
        <v>356</v>
      </c>
      <c r="F27" s="7" t="n">
        <v>549</v>
      </c>
      <c r="G27" s="7" t="n">
        <v>1</v>
      </c>
      <c r="H27" s="8" t="n">
        <v>0.859459519386292</v>
      </c>
      <c r="I27" s="8" t="n">
        <v>0.5</v>
      </c>
      <c r="J27" s="7" t="s">
        <v>90</v>
      </c>
      <c r="K27" s="9" t="s">
        <v>92</v>
      </c>
      <c r="L27" s="9" t="s">
        <v>357</v>
      </c>
    </row>
    <row r="28" customFormat="false" ht="270.1" hidden="false" customHeight="false" outlineLevel="0" collapsed="false">
      <c r="A28" s="7" t="s">
        <v>89</v>
      </c>
      <c r="B28" s="7" t="s">
        <v>324</v>
      </c>
      <c r="C28" s="7" t="s">
        <v>69</v>
      </c>
      <c r="D28" s="7" t="s">
        <v>358</v>
      </c>
      <c r="E28" s="7" t="s">
        <v>394</v>
      </c>
      <c r="F28" s="7" t="n">
        <v>2045</v>
      </c>
      <c r="G28" s="7" t="n">
        <v>2</v>
      </c>
      <c r="H28" s="8" t="n">
        <v>0.86925220489502</v>
      </c>
      <c r="I28" s="8" t="n">
        <v>0.5</v>
      </c>
      <c r="J28" s="7" t="s">
        <v>90</v>
      </c>
      <c r="K28" s="9" t="s">
        <v>92</v>
      </c>
      <c r="L28" s="9" t="s">
        <v>360</v>
      </c>
    </row>
    <row r="29" customFormat="false" ht="404.45" hidden="false" customHeight="false" outlineLevel="0" collapsed="false">
      <c r="A29" s="7" t="s">
        <v>89</v>
      </c>
      <c r="B29" s="7" t="s">
        <v>328</v>
      </c>
      <c r="C29" s="7" t="s">
        <v>69</v>
      </c>
      <c r="D29" s="7" t="s">
        <v>367</v>
      </c>
      <c r="E29" s="7" t="s">
        <v>395</v>
      </c>
      <c r="F29" s="7" t="n">
        <v>2279</v>
      </c>
      <c r="G29" s="7" t="n">
        <v>2</v>
      </c>
      <c r="H29" s="8" t="n">
        <v>2.1395001411438</v>
      </c>
      <c r="I29" s="8" t="n">
        <v>0.5</v>
      </c>
      <c r="J29" s="7" t="s">
        <v>90</v>
      </c>
      <c r="K29" s="9" t="s">
        <v>92</v>
      </c>
      <c r="L29" s="9" t="s">
        <v>369</v>
      </c>
    </row>
    <row r="30" customFormat="false" ht="57.45" hidden="false" customHeight="false" outlineLevel="0" collapsed="false">
      <c r="A30" s="7" t="s">
        <v>95</v>
      </c>
      <c r="B30" s="7" t="s">
        <v>320</v>
      </c>
      <c r="C30" s="7" t="s">
        <v>396</v>
      </c>
      <c r="D30" s="7" t="s">
        <v>397</v>
      </c>
      <c r="E30" s="7" t="s">
        <v>398</v>
      </c>
      <c r="F30" s="7" t="n">
        <v>489</v>
      </c>
      <c r="G30" s="7" t="n">
        <v>1</v>
      </c>
      <c r="H30" s="8" t="n">
        <v>-1.0518364906311</v>
      </c>
      <c r="I30" s="8" t="n">
        <v>0</v>
      </c>
      <c r="J30" s="7" t="s">
        <v>90</v>
      </c>
      <c r="K30" s="9" t="s">
        <v>99</v>
      </c>
      <c r="L30" s="9" t="s">
        <v>399</v>
      </c>
    </row>
    <row r="31" customFormat="false" ht="124.6" hidden="false" customHeight="false" outlineLevel="0" collapsed="false">
      <c r="A31" s="7" t="s">
        <v>95</v>
      </c>
      <c r="B31" s="7" t="s">
        <v>324</v>
      </c>
      <c r="C31" s="7" t="s">
        <v>69</v>
      </c>
      <c r="D31" s="7" t="s">
        <v>400</v>
      </c>
      <c r="E31" s="7" t="s">
        <v>401</v>
      </c>
      <c r="F31" s="7" t="n">
        <v>889</v>
      </c>
      <c r="G31" s="7" t="n">
        <v>1</v>
      </c>
      <c r="H31" s="8" t="n">
        <v>0.253242075443268</v>
      </c>
      <c r="I31" s="8" t="n">
        <v>0</v>
      </c>
      <c r="J31" s="7" t="s">
        <v>90</v>
      </c>
      <c r="K31" s="9" t="s">
        <v>99</v>
      </c>
      <c r="L31" s="9" t="s">
        <v>402</v>
      </c>
    </row>
    <row r="32" customFormat="false" ht="46.25" hidden="false" customHeight="false" outlineLevel="0" collapsed="false">
      <c r="A32" s="7" t="s">
        <v>95</v>
      </c>
      <c r="B32" s="7" t="s">
        <v>328</v>
      </c>
      <c r="C32" s="7" t="s">
        <v>396</v>
      </c>
      <c r="D32" s="7" t="s">
        <v>403</v>
      </c>
      <c r="E32" s="7" t="s">
        <v>398</v>
      </c>
      <c r="F32" s="7" t="n">
        <v>469</v>
      </c>
      <c r="G32" s="7" t="n">
        <v>1</v>
      </c>
      <c r="H32" s="8" t="n">
        <v>-1.13003659248352</v>
      </c>
      <c r="I32" s="8" t="n">
        <v>0</v>
      </c>
      <c r="J32" s="7" t="s">
        <v>90</v>
      </c>
      <c r="K32" s="9" t="s">
        <v>99</v>
      </c>
      <c r="L32" s="9" t="s">
        <v>404</v>
      </c>
    </row>
    <row r="33" customFormat="false" ht="57.45" hidden="false" customHeight="false" outlineLevel="0" collapsed="false">
      <c r="A33" s="7" t="s">
        <v>95</v>
      </c>
      <c r="B33" s="7" t="s">
        <v>332</v>
      </c>
      <c r="C33" s="7" t="s">
        <v>69</v>
      </c>
      <c r="D33" s="7" t="s">
        <v>405</v>
      </c>
      <c r="E33" s="7" t="s">
        <v>406</v>
      </c>
      <c r="F33" s="7" t="n">
        <v>393</v>
      </c>
      <c r="G33" s="7" t="n">
        <v>1</v>
      </c>
      <c r="H33" s="8" t="n">
        <v>0.63056755065918</v>
      </c>
      <c r="I33" s="8" t="n">
        <v>0</v>
      </c>
      <c r="J33" s="7" t="s">
        <v>90</v>
      </c>
      <c r="K33" s="9" t="s">
        <v>99</v>
      </c>
      <c r="L33" s="9" t="s">
        <v>407</v>
      </c>
    </row>
    <row r="34" customFormat="false" ht="57.45" hidden="false" customHeight="false" outlineLevel="0" collapsed="false">
      <c r="A34" s="7" t="s">
        <v>95</v>
      </c>
      <c r="B34" s="7" t="s">
        <v>348</v>
      </c>
      <c r="C34" s="7" t="s">
        <v>69</v>
      </c>
      <c r="D34" s="7" t="s">
        <v>408</v>
      </c>
      <c r="E34" s="7" t="s">
        <v>406</v>
      </c>
      <c r="F34" s="7" t="n">
        <v>396</v>
      </c>
      <c r="G34" s="7" t="n">
        <v>1</v>
      </c>
      <c r="H34" s="8" t="n">
        <v>0.607235789299011</v>
      </c>
      <c r="I34" s="8" t="n">
        <v>0</v>
      </c>
      <c r="J34" s="7" t="s">
        <v>90</v>
      </c>
      <c r="K34" s="9" t="s">
        <v>99</v>
      </c>
      <c r="L34" s="9" t="s">
        <v>409</v>
      </c>
    </row>
    <row r="35" customFormat="false" ht="247.75" hidden="false" customHeight="false" outlineLevel="0" collapsed="false">
      <c r="A35" s="7" t="s">
        <v>95</v>
      </c>
      <c r="B35" s="7" t="s">
        <v>410</v>
      </c>
      <c r="C35" s="7" t="s">
        <v>69</v>
      </c>
      <c r="D35" s="7" t="s">
        <v>411</v>
      </c>
      <c r="E35" s="7" t="s">
        <v>412</v>
      </c>
      <c r="F35" s="7" t="n">
        <v>1469</v>
      </c>
      <c r="G35" s="7" t="n">
        <v>1</v>
      </c>
      <c r="H35" s="8" t="n">
        <v>2.134446144104</v>
      </c>
      <c r="I35" s="8" t="n">
        <v>0</v>
      </c>
      <c r="J35" s="7" t="s">
        <v>90</v>
      </c>
      <c r="K35" s="9" t="s">
        <v>99</v>
      </c>
      <c r="L35" s="9" t="s">
        <v>413</v>
      </c>
    </row>
    <row r="36" customFormat="false" ht="158.2" hidden="false" customHeight="false" outlineLevel="0" collapsed="false">
      <c r="A36" s="7" t="s">
        <v>102</v>
      </c>
      <c r="B36" s="7" t="s">
        <v>320</v>
      </c>
      <c r="C36" s="7" t="s">
        <v>414</v>
      </c>
      <c r="D36" s="7" t="s">
        <v>415</v>
      </c>
      <c r="E36" s="7" t="s">
        <v>416</v>
      </c>
      <c r="F36" s="7" t="n">
        <v>1037</v>
      </c>
      <c r="G36" s="7" t="n">
        <v>1</v>
      </c>
      <c r="H36" s="8" t="n">
        <v>3.05147838592529</v>
      </c>
      <c r="I36" s="8" t="n">
        <v>1</v>
      </c>
      <c r="J36" s="7" t="s">
        <v>43</v>
      </c>
      <c r="K36" s="9" t="s">
        <v>106</v>
      </c>
      <c r="L36" s="9" t="s">
        <v>417</v>
      </c>
    </row>
    <row r="37" customFormat="false" ht="717.9" hidden="false" customHeight="false" outlineLevel="0" collapsed="false">
      <c r="A37" s="7" t="s">
        <v>102</v>
      </c>
      <c r="B37" s="7" t="s">
        <v>324</v>
      </c>
      <c r="C37" s="7" t="s">
        <v>418</v>
      </c>
      <c r="D37" s="7" t="s">
        <v>419</v>
      </c>
      <c r="E37" s="7" t="s">
        <v>420</v>
      </c>
      <c r="F37" s="7" t="n">
        <v>3570</v>
      </c>
      <c r="G37" s="7" t="n">
        <v>1</v>
      </c>
      <c r="H37" s="8" t="n">
        <v>3.62538599967957</v>
      </c>
      <c r="I37" s="8" t="n">
        <v>1</v>
      </c>
      <c r="J37" s="7" t="s">
        <v>43</v>
      </c>
      <c r="K37" s="9" t="s">
        <v>106</v>
      </c>
      <c r="L37" s="9" t="s">
        <v>421</v>
      </c>
    </row>
    <row r="38" customFormat="false" ht="650.7" hidden="false" customHeight="false" outlineLevel="0" collapsed="false">
      <c r="A38" s="7" t="s">
        <v>102</v>
      </c>
      <c r="B38" s="7" t="s">
        <v>328</v>
      </c>
      <c r="C38" s="7" t="s">
        <v>414</v>
      </c>
      <c r="D38" s="7" t="s">
        <v>422</v>
      </c>
      <c r="E38" s="7" t="s">
        <v>420</v>
      </c>
      <c r="F38" s="7" t="n">
        <v>2621</v>
      </c>
      <c r="G38" s="7" t="n">
        <v>1</v>
      </c>
      <c r="H38" s="8" t="n">
        <v>2.77215003967285</v>
      </c>
      <c r="I38" s="8" t="n">
        <v>1</v>
      </c>
      <c r="J38" s="7" t="s">
        <v>43</v>
      </c>
      <c r="K38" s="9" t="s">
        <v>106</v>
      </c>
      <c r="L38" s="9" t="s">
        <v>423</v>
      </c>
    </row>
    <row r="39" customFormat="false" ht="393.25" hidden="false" customHeight="false" outlineLevel="0" collapsed="false">
      <c r="A39" s="7" t="s">
        <v>109</v>
      </c>
      <c r="B39" s="7" t="s">
        <v>320</v>
      </c>
      <c r="C39" s="7" t="s">
        <v>126</v>
      </c>
      <c r="D39" s="7" t="s">
        <v>424</v>
      </c>
      <c r="E39" s="7" t="s">
        <v>425</v>
      </c>
      <c r="F39" s="7" t="n">
        <v>6664</v>
      </c>
      <c r="G39" s="7" t="n">
        <v>2</v>
      </c>
      <c r="H39" s="8" t="n">
        <v>-1.17430591583252</v>
      </c>
      <c r="I39" s="8" t="n">
        <v>0.5</v>
      </c>
      <c r="J39" s="7" t="s">
        <v>43</v>
      </c>
      <c r="K39" s="9" t="s">
        <v>112</v>
      </c>
      <c r="L39" s="9" t="s">
        <v>426</v>
      </c>
    </row>
    <row r="40" customFormat="false" ht="158.2" hidden="false" customHeight="false" outlineLevel="0" collapsed="false">
      <c r="A40" s="7" t="s">
        <v>109</v>
      </c>
      <c r="B40" s="7" t="s">
        <v>324</v>
      </c>
      <c r="C40" s="7" t="s">
        <v>69</v>
      </c>
      <c r="D40" s="7" t="s">
        <v>427</v>
      </c>
      <c r="E40" s="7" t="s">
        <v>428</v>
      </c>
      <c r="F40" s="7" t="n">
        <v>833</v>
      </c>
      <c r="G40" s="7" t="n">
        <v>1</v>
      </c>
      <c r="H40" s="8" t="n">
        <v>-5.31820631027222</v>
      </c>
      <c r="I40" s="8" t="n">
        <v>0.5</v>
      </c>
      <c r="J40" s="7" t="s">
        <v>43</v>
      </c>
      <c r="K40" s="9" t="s">
        <v>112</v>
      </c>
      <c r="L40" s="9" t="s">
        <v>429</v>
      </c>
    </row>
    <row r="41" customFormat="false" ht="236.55" hidden="false" customHeight="false" outlineLevel="0" collapsed="false">
      <c r="A41" s="7" t="s">
        <v>109</v>
      </c>
      <c r="B41" s="7" t="s">
        <v>328</v>
      </c>
      <c r="C41" s="7" t="s">
        <v>69</v>
      </c>
      <c r="D41" s="7" t="s">
        <v>430</v>
      </c>
      <c r="E41" s="7" t="s">
        <v>431</v>
      </c>
      <c r="F41" s="7" t="n">
        <v>1095</v>
      </c>
      <c r="G41" s="7" t="n">
        <v>1</v>
      </c>
      <c r="H41" s="8" t="n">
        <v>-5.41648864746094</v>
      </c>
      <c r="I41" s="8" t="n">
        <v>0.5</v>
      </c>
      <c r="J41" s="7" t="s">
        <v>43</v>
      </c>
      <c r="K41" s="9" t="s">
        <v>112</v>
      </c>
      <c r="L41" s="9" t="s">
        <v>432</v>
      </c>
    </row>
    <row r="42" customFormat="false" ht="281.3" hidden="false" customHeight="false" outlineLevel="0" collapsed="false">
      <c r="A42" s="7" t="s">
        <v>115</v>
      </c>
      <c r="B42" s="7" t="s">
        <v>320</v>
      </c>
      <c r="C42" s="7" t="s">
        <v>51</v>
      </c>
      <c r="D42" s="7" t="s">
        <v>433</v>
      </c>
      <c r="E42" s="7" t="s">
        <v>434</v>
      </c>
      <c r="F42" s="7" t="n">
        <v>2175</v>
      </c>
      <c r="G42" s="7" t="n">
        <v>1</v>
      </c>
      <c r="H42" s="8" t="n">
        <v>-1.45213580131531</v>
      </c>
      <c r="I42" s="8" t="n">
        <v>0.5</v>
      </c>
      <c r="J42" s="7" t="s">
        <v>43</v>
      </c>
      <c r="K42" s="9" t="s">
        <v>119</v>
      </c>
      <c r="L42" s="9" t="s">
        <v>435</v>
      </c>
    </row>
    <row r="43" customFormat="false" ht="258.95" hidden="false" customHeight="false" outlineLevel="0" collapsed="false">
      <c r="A43" s="7" t="s">
        <v>115</v>
      </c>
      <c r="B43" s="7" t="s">
        <v>324</v>
      </c>
      <c r="C43" s="7" t="s">
        <v>45</v>
      </c>
      <c r="D43" s="7" t="s">
        <v>329</v>
      </c>
      <c r="E43" s="7" t="s">
        <v>436</v>
      </c>
      <c r="F43" s="7" t="n">
        <v>2223</v>
      </c>
      <c r="G43" s="7" t="n">
        <v>1</v>
      </c>
      <c r="H43" s="8" t="n">
        <v>-3.73466849327087</v>
      </c>
      <c r="I43" s="8" t="n">
        <v>0.5</v>
      </c>
      <c r="J43" s="7" t="s">
        <v>43</v>
      </c>
      <c r="K43" s="9" t="s">
        <v>119</v>
      </c>
      <c r="L43" s="9" t="s">
        <v>331</v>
      </c>
    </row>
    <row r="44" customFormat="false" ht="225.35" hidden="false" customHeight="false" outlineLevel="0" collapsed="false">
      <c r="A44" s="7" t="s">
        <v>115</v>
      </c>
      <c r="B44" s="7" t="s">
        <v>328</v>
      </c>
      <c r="C44" s="7" t="s">
        <v>51</v>
      </c>
      <c r="D44" s="7" t="s">
        <v>437</v>
      </c>
      <c r="E44" s="7" t="s">
        <v>438</v>
      </c>
      <c r="F44" s="7" t="n">
        <v>1325</v>
      </c>
      <c r="G44" s="7" t="n">
        <v>1</v>
      </c>
      <c r="H44" s="8" t="n">
        <v>-5.98482036590576</v>
      </c>
      <c r="I44" s="8" t="n">
        <v>0.5</v>
      </c>
      <c r="J44" s="7" t="s">
        <v>43</v>
      </c>
      <c r="K44" s="9" t="s">
        <v>119</v>
      </c>
      <c r="L44" s="9" t="s">
        <v>439</v>
      </c>
    </row>
    <row r="45" customFormat="false" ht="79.85" hidden="false" customHeight="false" outlineLevel="0" collapsed="false">
      <c r="A45" s="7" t="s">
        <v>115</v>
      </c>
      <c r="B45" s="7" t="s">
        <v>332</v>
      </c>
      <c r="C45" s="7" t="s">
        <v>45</v>
      </c>
      <c r="D45" s="7" t="s">
        <v>440</v>
      </c>
      <c r="E45" s="7" t="s">
        <v>441</v>
      </c>
      <c r="F45" s="7" t="n">
        <v>384</v>
      </c>
      <c r="G45" s="7" t="n">
        <v>1</v>
      </c>
      <c r="H45" s="8" t="n">
        <v>-3.84103560447693</v>
      </c>
      <c r="I45" s="8" t="n">
        <v>0.5</v>
      </c>
      <c r="J45" s="7" t="s">
        <v>43</v>
      </c>
      <c r="K45" s="9" t="s">
        <v>119</v>
      </c>
      <c r="L45" s="9" t="s">
        <v>442</v>
      </c>
    </row>
    <row r="46" customFormat="false" ht="404.45" hidden="false" customHeight="false" outlineLevel="0" collapsed="false">
      <c r="A46" s="7" t="s">
        <v>122</v>
      </c>
      <c r="B46" s="7" t="s">
        <v>320</v>
      </c>
      <c r="C46" s="7" t="s">
        <v>414</v>
      </c>
      <c r="D46" s="7" t="s">
        <v>443</v>
      </c>
      <c r="E46" s="7" t="s">
        <v>444</v>
      </c>
      <c r="F46" s="7" t="n">
        <v>3585</v>
      </c>
      <c r="G46" s="7" t="n">
        <v>1</v>
      </c>
      <c r="H46" s="8" t="n">
        <v>0.554660439491272</v>
      </c>
      <c r="I46" s="8" t="n">
        <v>0.5</v>
      </c>
      <c r="J46" s="7" t="s">
        <v>43</v>
      </c>
      <c r="K46" s="9" t="s">
        <v>128</v>
      </c>
      <c r="L46" s="9" t="s">
        <v>445</v>
      </c>
    </row>
    <row r="47" customFormat="false" ht="326.1" hidden="false" customHeight="false" outlineLevel="0" collapsed="false">
      <c r="A47" s="7" t="s">
        <v>122</v>
      </c>
      <c r="B47" s="7" t="s">
        <v>324</v>
      </c>
      <c r="C47" s="7" t="s">
        <v>126</v>
      </c>
      <c r="D47" s="7" t="s">
        <v>446</v>
      </c>
      <c r="E47" s="7" t="s">
        <v>447</v>
      </c>
      <c r="F47" s="7" t="n">
        <v>2485</v>
      </c>
      <c r="G47" s="7" t="n">
        <v>2</v>
      </c>
      <c r="H47" s="8" t="n">
        <v>2.192702293396</v>
      </c>
      <c r="I47" s="8" t="n">
        <v>0.5</v>
      </c>
      <c r="J47" s="7" t="s">
        <v>43</v>
      </c>
      <c r="K47" s="9" t="s">
        <v>128</v>
      </c>
      <c r="L47" s="9" t="s">
        <v>448</v>
      </c>
    </row>
    <row r="48" customFormat="false" ht="404.45" hidden="false" customHeight="false" outlineLevel="0" collapsed="false">
      <c r="A48" s="7" t="s">
        <v>122</v>
      </c>
      <c r="B48" s="7" t="s">
        <v>328</v>
      </c>
      <c r="C48" s="7" t="s">
        <v>418</v>
      </c>
      <c r="D48" s="7" t="s">
        <v>449</v>
      </c>
      <c r="E48" s="7" t="s">
        <v>450</v>
      </c>
      <c r="F48" s="7" t="n">
        <v>3201</v>
      </c>
      <c r="G48" s="7" t="n">
        <v>2</v>
      </c>
      <c r="H48" s="8" t="n">
        <v>1.88997900485992</v>
      </c>
      <c r="I48" s="8" t="n">
        <v>0.5</v>
      </c>
      <c r="J48" s="7" t="s">
        <v>43</v>
      </c>
      <c r="K48" s="9" t="s">
        <v>128</v>
      </c>
      <c r="L48" s="9" t="s">
        <v>451</v>
      </c>
    </row>
    <row r="49" customFormat="false" ht="236.55" hidden="false" customHeight="false" outlineLevel="0" collapsed="false">
      <c r="A49" s="7" t="s">
        <v>122</v>
      </c>
      <c r="B49" s="7" t="s">
        <v>332</v>
      </c>
      <c r="C49" s="7" t="s">
        <v>126</v>
      </c>
      <c r="D49" s="7" t="s">
        <v>452</v>
      </c>
      <c r="E49" s="7" t="s">
        <v>453</v>
      </c>
      <c r="F49" s="7" t="n">
        <v>578</v>
      </c>
      <c r="G49" s="7" t="n">
        <v>1</v>
      </c>
      <c r="H49" s="8" t="n">
        <v>2.45861887931824</v>
      </c>
      <c r="I49" s="8" t="n">
        <v>0.5</v>
      </c>
      <c r="J49" s="7" t="s">
        <v>43</v>
      </c>
      <c r="K49" s="9" t="s">
        <v>128</v>
      </c>
      <c r="L49" s="9" t="s">
        <v>454</v>
      </c>
    </row>
    <row r="50" customFormat="false" ht="68.65" hidden="false" customHeight="false" outlineLevel="0" collapsed="false">
      <c r="A50" s="7" t="s">
        <v>122</v>
      </c>
      <c r="B50" s="7" t="s">
        <v>348</v>
      </c>
      <c r="C50" s="7" t="s">
        <v>396</v>
      </c>
      <c r="D50" s="7" t="s">
        <v>455</v>
      </c>
      <c r="E50" s="7" t="s">
        <v>456</v>
      </c>
      <c r="F50" s="7" t="n">
        <v>686</v>
      </c>
      <c r="G50" s="7" t="n">
        <v>1</v>
      </c>
      <c r="H50" s="8" t="n">
        <v>0.26884400844574</v>
      </c>
      <c r="I50" s="8" t="n">
        <v>0.5</v>
      </c>
      <c r="J50" s="7" t="s">
        <v>43</v>
      </c>
      <c r="K50" s="9" t="s">
        <v>128</v>
      </c>
      <c r="L50" s="9" t="s">
        <v>457</v>
      </c>
    </row>
    <row r="51" customFormat="false" ht="382.05" hidden="false" customHeight="false" outlineLevel="0" collapsed="false">
      <c r="A51" s="7" t="s">
        <v>122</v>
      </c>
      <c r="B51" s="7" t="s">
        <v>410</v>
      </c>
      <c r="C51" s="7" t="s">
        <v>126</v>
      </c>
      <c r="D51" s="7" t="s">
        <v>458</v>
      </c>
      <c r="E51" s="7" t="s">
        <v>459</v>
      </c>
      <c r="F51" s="7" t="n">
        <v>4639</v>
      </c>
      <c r="G51" s="7" t="n">
        <v>1</v>
      </c>
      <c r="H51" s="8" t="n">
        <v>1.38611090183258</v>
      </c>
      <c r="I51" s="8" t="n">
        <v>0.5</v>
      </c>
      <c r="J51" s="7" t="s">
        <v>43</v>
      </c>
      <c r="K51" s="9" t="s">
        <v>128</v>
      </c>
      <c r="L51" s="9" t="s">
        <v>460</v>
      </c>
    </row>
    <row r="52" customFormat="false" ht="124.6" hidden="false" customHeight="false" outlineLevel="0" collapsed="false">
      <c r="A52" s="7" t="s">
        <v>122</v>
      </c>
      <c r="B52" s="7" t="s">
        <v>461</v>
      </c>
      <c r="C52" s="7" t="s">
        <v>396</v>
      </c>
      <c r="D52" s="7" t="s">
        <v>462</v>
      </c>
      <c r="E52" s="7" t="s">
        <v>456</v>
      </c>
      <c r="F52" s="7" t="n">
        <v>1076</v>
      </c>
      <c r="G52" s="7" t="n">
        <v>1</v>
      </c>
      <c r="H52" s="8" t="n">
        <v>0.220346435904503</v>
      </c>
      <c r="I52" s="8" t="n">
        <v>0.5</v>
      </c>
      <c r="J52" s="7" t="s">
        <v>43</v>
      </c>
      <c r="K52" s="9" t="s">
        <v>128</v>
      </c>
      <c r="L52" s="9" t="s">
        <v>463</v>
      </c>
    </row>
    <row r="53" customFormat="false" ht="124.6" hidden="false" customHeight="false" outlineLevel="0" collapsed="false">
      <c r="A53" s="7" t="s">
        <v>131</v>
      </c>
      <c r="B53" s="7" t="s">
        <v>320</v>
      </c>
      <c r="C53" s="7" t="s">
        <v>63</v>
      </c>
      <c r="D53" s="7" t="s">
        <v>464</v>
      </c>
      <c r="E53" s="7" t="s">
        <v>465</v>
      </c>
      <c r="F53" s="7" t="n">
        <v>863</v>
      </c>
      <c r="G53" s="7" t="n">
        <v>2</v>
      </c>
      <c r="H53" s="8" t="n">
        <v>4.24958324432373</v>
      </c>
      <c r="I53" s="8" t="n">
        <v>1</v>
      </c>
      <c r="J53" s="7" t="s">
        <v>43</v>
      </c>
      <c r="K53" s="9" t="s">
        <v>134</v>
      </c>
      <c r="L53" s="9" t="s">
        <v>466</v>
      </c>
    </row>
    <row r="54" customFormat="false" ht="382.05" hidden="false" customHeight="false" outlineLevel="0" collapsed="false">
      <c r="A54" s="7" t="s">
        <v>131</v>
      </c>
      <c r="B54" s="7" t="s">
        <v>324</v>
      </c>
      <c r="C54" s="7" t="s">
        <v>126</v>
      </c>
      <c r="D54" s="7" t="s">
        <v>458</v>
      </c>
      <c r="E54" s="7" t="s">
        <v>467</v>
      </c>
      <c r="F54" s="7" t="n">
        <v>5316</v>
      </c>
      <c r="G54" s="7" t="n">
        <v>4</v>
      </c>
      <c r="H54" s="8" t="n">
        <v>1.89605939388275</v>
      </c>
      <c r="I54" s="8" t="n">
        <v>1</v>
      </c>
      <c r="J54" s="7" t="s">
        <v>43</v>
      </c>
      <c r="K54" s="9" t="s">
        <v>134</v>
      </c>
      <c r="L54" s="9" t="s">
        <v>460</v>
      </c>
    </row>
    <row r="55" customFormat="false" ht="404.45" hidden="false" customHeight="false" outlineLevel="0" collapsed="false">
      <c r="A55" s="7" t="s">
        <v>131</v>
      </c>
      <c r="B55" s="7" t="s">
        <v>328</v>
      </c>
      <c r="C55" s="7" t="s">
        <v>414</v>
      </c>
      <c r="D55" s="7" t="s">
        <v>443</v>
      </c>
      <c r="E55" s="7" t="s">
        <v>444</v>
      </c>
      <c r="F55" s="7" t="n">
        <v>3585</v>
      </c>
      <c r="G55" s="7" t="n">
        <v>1</v>
      </c>
      <c r="H55" s="8" t="n">
        <v>0.33732733130455</v>
      </c>
      <c r="I55" s="8" t="n">
        <v>1</v>
      </c>
      <c r="J55" s="7" t="s">
        <v>43</v>
      </c>
      <c r="K55" s="9" t="s">
        <v>134</v>
      </c>
      <c r="L55" s="9" t="s">
        <v>445</v>
      </c>
    </row>
    <row r="56" customFormat="false" ht="326.1" hidden="false" customHeight="false" outlineLevel="0" collapsed="false">
      <c r="A56" s="7" t="s">
        <v>131</v>
      </c>
      <c r="B56" s="7" t="s">
        <v>332</v>
      </c>
      <c r="C56" s="7" t="s">
        <v>126</v>
      </c>
      <c r="D56" s="7" t="s">
        <v>446</v>
      </c>
      <c r="E56" s="7" t="s">
        <v>468</v>
      </c>
      <c r="F56" s="7" t="n">
        <v>2485</v>
      </c>
      <c r="G56" s="7" t="n">
        <v>1</v>
      </c>
      <c r="H56" s="8" t="n">
        <v>1.13757824897766</v>
      </c>
      <c r="I56" s="8" t="n">
        <v>1</v>
      </c>
      <c r="J56" s="7" t="s">
        <v>43</v>
      </c>
      <c r="K56" s="9" t="s">
        <v>134</v>
      </c>
      <c r="L56" s="9" t="s">
        <v>448</v>
      </c>
    </row>
    <row r="57" customFormat="false" ht="314.9" hidden="false" customHeight="false" outlineLevel="0" collapsed="false">
      <c r="A57" s="7" t="s">
        <v>137</v>
      </c>
      <c r="B57" s="7" t="s">
        <v>320</v>
      </c>
      <c r="C57" s="7" t="s">
        <v>63</v>
      </c>
      <c r="D57" s="7" t="s">
        <v>469</v>
      </c>
      <c r="E57" s="7" t="s">
        <v>470</v>
      </c>
      <c r="F57" s="7" t="n">
        <v>2379</v>
      </c>
      <c r="G57" s="7" t="n">
        <v>2</v>
      </c>
      <c r="H57" s="8" t="n">
        <v>5.06531238555908</v>
      </c>
      <c r="I57" s="8" t="n">
        <v>0.666666666666667</v>
      </c>
      <c r="J57" s="7" t="s">
        <v>90</v>
      </c>
      <c r="K57" s="9" t="s">
        <v>142</v>
      </c>
      <c r="L57" s="9" t="s">
        <v>471</v>
      </c>
    </row>
    <row r="58" customFormat="false" ht="471.6" hidden="false" customHeight="false" outlineLevel="0" collapsed="false">
      <c r="A58" s="7" t="s">
        <v>137</v>
      </c>
      <c r="B58" s="7" t="s">
        <v>324</v>
      </c>
      <c r="C58" s="7" t="s">
        <v>69</v>
      </c>
      <c r="D58" s="7" t="s">
        <v>472</v>
      </c>
      <c r="E58" s="7" t="s">
        <v>473</v>
      </c>
      <c r="F58" s="7" t="n">
        <v>2637</v>
      </c>
      <c r="G58" s="7" t="n">
        <v>1</v>
      </c>
      <c r="H58" s="8" t="n">
        <v>3.76376676559448</v>
      </c>
      <c r="I58" s="8" t="n">
        <v>0.666666666666667</v>
      </c>
      <c r="J58" s="7" t="s">
        <v>90</v>
      </c>
      <c r="K58" s="9" t="s">
        <v>142</v>
      </c>
      <c r="L58" s="9" t="s">
        <v>474</v>
      </c>
    </row>
    <row r="59" customFormat="false" ht="393.25" hidden="false" customHeight="false" outlineLevel="0" collapsed="false">
      <c r="A59" s="7" t="s">
        <v>137</v>
      </c>
      <c r="B59" s="7" t="s">
        <v>328</v>
      </c>
      <c r="C59" s="7" t="s">
        <v>212</v>
      </c>
      <c r="D59" s="7" t="s">
        <v>475</v>
      </c>
      <c r="E59" s="7" t="s">
        <v>476</v>
      </c>
      <c r="F59" s="7" t="n">
        <v>6176</v>
      </c>
      <c r="G59" s="7" t="n">
        <v>1</v>
      </c>
      <c r="H59" s="8" t="n">
        <v>2.47687840461731</v>
      </c>
      <c r="I59" s="8" t="n">
        <v>0.666666666666667</v>
      </c>
      <c r="J59" s="7" t="s">
        <v>90</v>
      </c>
      <c r="K59" s="9" t="s">
        <v>142</v>
      </c>
      <c r="L59" s="9" t="s">
        <v>477</v>
      </c>
    </row>
    <row r="60" customFormat="false" ht="236.55" hidden="false" customHeight="false" outlineLevel="0" collapsed="false">
      <c r="A60" s="7" t="s">
        <v>137</v>
      </c>
      <c r="B60" s="7" t="s">
        <v>332</v>
      </c>
      <c r="C60" s="7" t="s">
        <v>69</v>
      </c>
      <c r="D60" s="7" t="s">
        <v>430</v>
      </c>
      <c r="E60" s="7" t="s">
        <v>478</v>
      </c>
      <c r="F60" s="7" t="n">
        <v>1095</v>
      </c>
      <c r="G60" s="7" t="n">
        <v>1</v>
      </c>
      <c r="H60" s="8" t="n">
        <v>2.19259071350098</v>
      </c>
      <c r="I60" s="8" t="n">
        <v>0.666666666666667</v>
      </c>
      <c r="J60" s="7" t="s">
        <v>90</v>
      </c>
      <c r="K60" s="9" t="s">
        <v>142</v>
      </c>
      <c r="L60" s="9" t="s">
        <v>432</v>
      </c>
    </row>
    <row r="61" customFormat="false" ht="68.65" hidden="false" customHeight="false" outlineLevel="0" collapsed="false">
      <c r="A61" s="7" t="s">
        <v>145</v>
      </c>
      <c r="B61" s="7" t="s">
        <v>320</v>
      </c>
      <c r="C61" s="7" t="s">
        <v>57</v>
      </c>
      <c r="D61" s="7" t="s">
        <v>479</v>
      </c>
      <c r="E61" s="7" t="s">
        <v>480</v>
      </c>
      <c r="F61" s="7" t="n">
        <v>498</v>
      </c>
      <c r="G61" s="7" t="n">
        <v>1</v>
      </c>
      <c r="H61" s="8" t="n">
        <v>2.76095223426819</v>
      </c>
      <c r="I61" s="8" t="n">
        <v>0.5</v>
      </c>
      <c r="J61" s="7" t="s">
        <v>43</v>
      </c>
      <c r="K61" s="9" t="s">
        <v>148</v>
      </c>
      <c r="L61" s="9" t="s">
        <v>481</v>
      </c>
    </row>
    <row r="62" customFormat="false" ht="550" hidden="false" customHeight="false" outlineLevel="0" collapsed="false">
      <c r="A62" s="7" t="s">
        <v>145</v>
      </c>
      <c r="B62" s="7" t="s">
        <v>324</v>
      </c>
      <c r="C62" s="7" t="s">
        <v>57</v>
      </c>
      <c r="D62" s="7" t="s">
        <v>482</v>
      </c>
      <c r="E62" s="7" t="s">
        <v>483</v>
      </c>
      <c r="F62" s="7" t="n">
        <v>6187</v>
      </c>
      <c r="G62" s="7" t="n">
        <v>2</v>
      </c>
      <c r="H62" s="8" t="n">
        <v>1.54278039932251</v>
      </c>
      <c r="I62" s="8" t="n">
        <v>0.5</v>
      </c>
      <c r="J62" s="7" t="s">
        <v>43</v>
      </c>
      <c r="K62" s="9" t="s">
        <v>148</v>
      </c>
      <c r="L62" s="9" t="s">
        <v>484</v>
      </c>
    </row>
    <row r="63" customFormat="false" ht="124.6" hidden="false" customHeight="false" outlineLevel="0" collapsed="false">
      <c r="A63" s="7" t="s">
        <v>145</v>
      </c>
      <c r="B63" s="7" t="s">
        <v>328</v>
      </c>
      <c r="C63" s="7" t="s">
        <v>57</v>
      </c>
      <c r="D63" s="7" t="s">
        <v>485</v>
      </c>
      <c r="E63" s="7" t="s">
        <v>486</v>
      </c>
      <c r="F63" s="7" t="n">
        <v>246</v>
      </c>
      <c r="G63" s="7" t="n">
        <v>1</v>
      </c>
      <c r="H63" s="8" t="n">
        <v>0.427322298288345</v>
      </c>
      <c r="I63" s="8" t="n">
        <v>0.5</v>
      </c>
      <c r="J63" s="7" t="s">
        <v>43</v>
      </c>
      <c r="K63" s="9" t="s">
        <v>148</v>
      </c>
      <c r="L63" s="9" t="s">
        <v>487</v>
      </c>
    </row>
    <row r="64" customFormat="false" ht="124.6" hidden="false" customHeight="false" outlineLevel="0" collapsed="false">
      <c r="A64" s="7" t="s">
        <v>145</v>
      </c>
      <c r="B64" s="7" t="s">
        <v>332</v>
      </c>
      <c r="C64" s="7" t="s">
        <v>69</v>
      </c>
      <c r="D64" s="7" t="s">
        <v>400</v>
      </c>
      <c r="E64" s="7" t="s">
        <v>401</v>
      </c>
      <c r="F64" s="7" t="n">
        <v>889</v>
      </c>
      <c r="G64" s="7" t="n">
        <v>1</v>
      </c>
      <c r="H64" s="8" t="n">
        <v>0.338444948196411</v>
      </c>
      <c r="I64" s="8" t="n">
        <v>0.5</v>
      </c>
      <c r="J64" s="7" t="s">
        <v>43</v>
      </c>
      <c r="K64" s="9" t="s">
        <v>148</v>
      </c>
      <c r="L64" s="9" t="s">
        <v>402</v>
      </c>
    </row>
    <row r="65" customFormat="false" ht="102.2" hidden="false" customHeight="false" outlineLevel="0" collapsed="false">
      <c r="A65" s="7" t="s">
        <v>151</v>
      </c>
      <c r="B65" s="7" t="s">
        <v>320</v>
      </c>
      <c r="C65" s="7" t="s">
        <v>75</v>
      </c>
      <c r="D65" s="7" t="s">
        <v>373</v>
      </c>
      <c r="E65" s="7" t="s">
        <v>374</v>
      </c>
      <c r="F65" s="7" t="n">
        <v>722</v>
      </c>
      <c r="G65" s="7" t="n">
        <v>1</v>
      </c>
      <c r="H65" s="8" t="n">
        <v>7.20134925842285</v>
      </c>
      <c r="I65" s="8" t="n">
        <v>1</v>
      </c>
      <c r="J65" s="7" t="s">
        <v>90</v>
      </c>
      <c r="K65" s="9" t="s">
        <v>153</v>
      </c>
      <c r="L65" s="9" t="s">
        <v>375</v>
      </c>
    </row>
    <row r="66" customFormat="false" ht="214.15" hidden="false" customHeight="false" outlineLevel="0" collapsed="false">
      <c r="A66" s="7" t="s">
        <v>151</v>
      </c>
      <c r="B66" s="7" t="s">
        <v>324</v>
      </c>
      <c r="C66" s="7" t="s">
        <v>75</v>
      </c>
      <c r="D66" s="7" t="s">
        <v>370</v>
      </c>
      <c r="E66" s="7" t="s">
        <v>371</v>
      </c>
      <c r="F66" s="7" t="n">
        <v>1685</v>
      </c>
      <c r="G66" s="7" t="n">
        <v>1</v>
      </c>
      <c r="H66" s="8" t="n">
        <v>7.04355764389038</v>
      </c>
      <c r="I66" s="8" t="n">
        <v>1</v>
      </c>
      <c r="J66" s="7" t="s">
        <v>90</v>
      </c>
      <c r="K66" s="9" t="s">
        <v>153</v>
      </c>
      <c r="L66" s="9" t="s">
        <v>372</v>
      </c>
    </row>
    <row r="67" customFormat="false" ht="124.6" hidden="false" customHeight="false" outlineLevel="0" collapsed="false">
      <c r="A67" s="7" t="s">
        <v>151</v>
      </c>
      <c r="B67" s="7" t="s">
        <v>328</v>
      </c>
      <c r="C67" s="7" t="s">
        <v>75</v>
      </c>
      <c r="D67" s="7" t="s">
        <v>382</v>
      </c>
      <c r="E67" s="7" t="s">
        <v>383</v>
      </c>
      <c r="F67" s="7" t="n">
        <v>1018</v>
      </c>
      <c r="G67" s="7" t="n">
        <v>1</v>
      </c>
      <c r="H67" s="8" t="n">
        <v>6.67157459259033</v>
      </c>
      <c r="I67" s="8" t="n">
        <v>1</v>
      </c>
      <c r="J67" s="7" t="s">
        <v>90</v>
      </c>
      <c r="K67" s="9" t="s">
        <v>153</v>
      </c>
      <c r="L67" s="9" t="s">
        <v>384</v>
      </c>
    </row>
    <row r="68" customFormat="false" ht="214.15" hidden="false" customHeight="false" outlineLevel="0" collapsed="false">
      <c r="A68" s="7" t="s">
        <v>151</v>
      </c>
      <c r="B68" s="7" t="s">
        <v>332</v>
      </c>
      <c r="C68" s="7" t="s">
        <v>75</v>
      </c>
      <c r="D68" s="7" t="s">
        <v>379</v>
      </c>
      <c r="E68" s="7" t="s">
        <v>380</v>
      </c>
      <c r="F68" s="7" t="n">
        <v>1824</v>
      </c>
      <c r="G68" s="7" t="n">
        <v>1</v>
      </c>
      <c r="H68" s="8" t="n">
        <v>5.22377872467041</v>
      </c>
      <c r="I68" s="8" t="n">
        <v>1</v>
      </c>
      <c r="J68" s="7" t="s">
        <v>90</v>
      </c>
      <c r="K68" s="9" t="s">
        <v>153</v>
      </c>
      <c r="L68" s="9" t="s">
        <v>381</v>
      </c>
    </row>
    <row r="69" customFormat="false" ht="113.4" hidden="false" customHeight="false" outlineLevel="0" collapsed="false">
      <c r="A69" s="7" t="s">
        <v>151</v>
      </c>
      <c r="B69" s="7" t="s">
        <v>348</v>
      </c>
      <c r="C69" s="7" t="s">
        <v>75</v>
      </c>
      <c r="D69" s="7" t="s">
        <v>376</v>
      </c>
      <c r="E69" s="7" t="s">
        <v>377</v>
      </c>
      <c r="F69" s="7" t="n">
        <v>733</v>
      </c>
      <c r="G69" s="7" t="n">
        <v>1</v>
      </c>
      <c r="H69" s="8" t="n">
        <v>5.05548191070557</v>
      </c>
      <c r="I69" s="8" t="n">
        <v>1</v>
      </c>
      <c r="J69" s="7" t="s">
        <v>90</v>
      </c>
      <c r="K69" s="9" t="s">
        <v>153</v>
      </c>
      <c r="L69" s="9" t="s">
        <v>378</v>
      </c>
    </row>
    <row r="70" customFormat="false" ht="270.1" hidden="false" customHeight="false" outlineLevel="0" collapsed="false">
      <c r="A70" s="7" t="s">
        <v>156</v>
      </c>
      <c r="B70" s="7" t="s">
        <v>320</v>
      </c>
      <c r="C70" s="7" t="s">
        <v>69</v>
      </c>
      <c r="D70" s="7" t="s">
        <v>358</v>
      </c>
      <c r="E70" s="7" t="s">
        <v>488</v>
      </c>
      <c r="F70" s="7" t="n">
        <v>2045</v>
      </c>
      <c r="G70" s="7" t="n">
        <v>1</v>
      </c>
      <c r="H70" s="8" t="n">
        <v>4.79479885101318</v>
      </c>
      <c r="I70" s="8" t="n">
        <v>0.6</v>
      </c>
      <c r="J70" s="7" t="s">
        <v>43</v>
      </c>
      <c r="K70" s="9" t="s">
        <v>158</v>
      </c>
      <c r="L70" s="9" t="s">
        <v>360</v>
      </c>
    </row>
    <row r="71" customFormat="false" ht="91" hidden="false" customHeight="false" outlineLevel="0" collapsed="false">
      <c r="A71" s="7" t="s">
        <v>156</v>
      </c>
      <c r="B71" s="7" t="s">
        <v>324</v>
      </c>
      <c r="C71" s="7" t="s">
        <v>69</v>
      </c>
      <c r="D71" s="7" t="s">
        <v>489</v>
      </c>
      <c r="E71" s="7" t="s">
        <v>490</v>
      </c>
      <c r="F71" s="7" t="n">
        <v>559</v>
      </c>
      <c r="G71" s="7" t="n">
        <v>1</v>
      </c>
      <c r="H71" s="8" t="n">
        <v>3.17554688453674</v>
      </c>
      <c r="I71" s="8" t="n">
        <v>0.6</v>
      </c>
      <c r="J71" s="7" t="s">
        <v>43</v>
      </c>
      <c r="K71" s="9" t="s">
        <v>158</v>
      </c>
      <c r="L71" s="9" t="s">
        <v>491</v>
      </c>
    </row>
    <row r="72" customFormat="false" ht="225.35" hidden="false" customHeight="false" outlineLevel="0" collapsed="false">
      <c r="A72" s="7" t="s">
        <v>156</v>
      </c>
      <c r="B72" s="7" t="s">
        <v>328</v>
      </c>
      <c r="C72" s="7" t="s">
        <v>69</v>
      </c>
      <c r="D72" s="7" t="s">
        <v>492</v>
      </c>
      <c r="E72" s="7" t="s">
        <v>493</v>
      </c>
      <c r="F72" s="7" t="n">
        <v>1361</v>
      </c>
      <c r="G72" s="7" t="n">
        <v>1</v>
      </c>
      <c r="H72" s="8" t="n">
        <v>2.38474559783936</v>
      </c>
      <c r="I72" s="8" t="n">
        <v>0.6</v>
      </c>
      <c r="J72" s="7" t="s">
        <v>43</v>
      </c>
      <c r="K72" s="9" t="s">
        <v>158</v>
      </c>
      <c r="L72" s="9" t="s">
        <v>494</v>
      </c>
    </row>
    <row r="73" customFormat="false" ht="225.35" hidden="false" customHeight="false" outlineLevel="0" collapsed="false">
      <c r="A73" s="7" t="s">
        <v>156</v>
      </c>
      <c r="B73" s="7" t="s">
        <v>332</v>
      </c>
      <c r="C73" s="7" t="s">
        <v>69</v>
      </c>
      <c r="D73" s="7" t="s">
        <v>495</v>
      </c>
      <c r="E73" s="7" t="s">
        <v>496</v>
      </c>
      <c r="F73" s="7" t="n">
        <v>1218</v>
      </c>
      <c r="G73" s="7" t="n">
        <v>1</v>
      </c>
      <c r="H73" s="8" t="n">
        <v>3.56243991851807</v>
      </c>
      <c r="I73" s="8" t="n">
        <v>0.6</v>
      </c>
      <c r="J73" s="7" t="s">
        <v>43</v>
      </c>
      <c r="K73" s="9" t="s">
        <v>158</v>
      </c>
      <c r="L73" s="9" t="s">
        <v>497</v>
      </c>
    </row>
    <row r="74" customFormat="false" ht="359.7" hidden="false" customHeight="false" outlineLevel="0" collapsed="false">
      <c r="A74" s="7" t="s">
        <v>156</v>
      </c>
      <c r="B74" s="7" t="s">
        <v>348</v>
      </c>
      <c r="C74" s="7" t="s">
        <v>69</v>
      </c>
      <c r="D74" s="7" t="s">
        <v>498</v>
      </c>
      <c r="E74" s="7" t="s">
        <v>499</v>
      </c>
      <c r="F74" s="7" t="n">
        <v>1571</v>
      </c>
      <c r="G74" s="7" t="n">
        <v>1</v>
      </c>
      <c r="H74" s="8" t="n">
        <v>1.86898279190064</v>
      </c>
      <c r="I74" s="8" t="n">
        <v>0.6</v>
      </c>
      <c r="J74" s="7" t="s">
        <v>43</v>
      </c>
      <c r="K74" s="9" t="s">
        <v>158</v>
      </c>
      <c r="L74" s="9" t="s">
        <v>500</v>
      </c>
    </row>
    <row r="75" customFormat="false" ht="57.45" hidden="false" customHeight="false" outlineLevel="0" collapsed="false">
      <c r="A75" s="7" t="s">
        <v>161</v>
      </c>
      <c r="B75" s="7" t="s">
        <v>320</v>
      </c>
      <c r="C75" s="7" t="s">
        <v>51</v>
      </c>
      <c r="D75" s="7" t="s">
        <v>501</v>
      </c>
      <c r="E75" s="7" t="s">
        <v>502</v>
      </c>
      <c r="F75" s="7" t="n">
        <v>354</v>
      </c>
      <c r="G75" s="7" t="n">
        <v>1</v>
      </c>
      <c r="H75" s="8" t="n">
        <v>5.41446876525879</v>
      </c>
      <c r="I75" s="8" t="n">
        <v>1</v>
      </c>
      <c r="J75" s="7" t="s">
        <v>43</v>
      </c>
      <c r="K75" s="9" t="s">
        <v>162</v>
      </c>
      <c r="L75" s="9" t="s">
        <v>503</v>
      </c>
    </row>
    <row r="76" customFormat="false" ht="68.65" hidden="false" customHeight="false" outlineLevel="0" collapsed="false">
      <c r="A76" s="7" t="s">
        <v>161</v>
      </c>
      <c r="B76" s="7" t="s">
        <v>324</v>
      </c>
      <c r="C76" s="7" t="s">
        <v>51</v>
      </c>
      <c r="D76" s="7" t="s">
        <v>336</v>
      </c>
      <c r="E76" s="7" t="s">
        <v>337</v>
      </c>
      <c r="F76" s="7" t="n">
        <v>467</v>
      </c>
      <c r="G76" s="7" t="n">
        <v>1</v>
      </c>
      <c r="H76" s="8" t="n">
        <v>1.54536831378937</v>
      </c>
      <c r="I76" s="8" t="n">
        <v>1</v>
      </c>
      <c r="J76" s="7" t="s">
        <v>43</v>
      </c>
      <c r="K76" s="9" t="s">
        <v>162</v>
      </c>
      <c r="L76" s="9" t="s">
        <v>338</v>
      </c>
    </row>
    <row r="77" customFormat="false" ht="91" hidden="false" customHeight="false" outlineLevel="0" collapsed="false">
      <c r="A77" s="7" t="s">
        <v>161</v>
      </c>
      <c r="B77" s="7" t="s">
        <v>328</v>
      </c>
      <c r="C77" s="7" t="s">
        <v>51</v>
      </c>
      <c r="D77" s="7" t="s">
        <v>504</v>
      </c>
      <c r="E77" s="7" t="s">
        <v>505</v>
      </c>
      <c r="F77" s="7" t="n">
        <v>521</v>
      </c>
      <c r="G77" s="7" t="n">
        <v>1</v>
      </c>
      <c r="H77" s="8" t="n">
        <v>4.08950901031494</v>
      </c>
      <c r="I77" s="8" t="n">
        <v>1</v>
      </c>
      <c r="J77" s="7" t="s">
        <v>43</v>
      </c>
      <c r="K77" s="9" t="s">
        <v>162</v>
      </c>
      <c r="L77" s="9" t="s">
        <v>506</v>
      </c>
    </row>
    <row r="78" customFormat="false" ht="147" hidden="false" customHeight="false" outlineLevel="0" collapsed="false">
      <c r="A78" s="7" t="s">
        <v>161</v>
      </c>
      <c r="B78" s="7" t="s">
        <v>332</v>
      </c>
      <c r="C78" s="7" t="s">
        <v>51</v>
      </c>
      <c r="D78" s="7" t="s">
        <v>339</v>
      </c>
      <c r="E78" s="7" t="s">
        <v>340</v>
      </c>
      <c r="F78" s="7" t="n">
        <v>885</v>
      </c>
      <c r="G78" s="7" t="n">
        <v>2</v>
      </c>
      <c r="H78" s="8" t="n">
        <v>3.0296893119812</v>
      </c>
      <c r="I78" s="8" t="n">
        <v>1</v>
      </c>
      <c r="J78" s="7" t="s">
        <v>43</v>
      </c>
      <c r="K78" s="9" t="s">
        <v>162</v>
      </c>
      <c r="L78" s="9" t="s">
        <v>341</v>
      </c>
    </row>
    <row r="79" customFormat="false" ht="482.8" hidden="false" customHeight="false" outlineLevel="0" collapsed="false">
      <c r="A79" s="7" t="s">
        <v>165</v>
      </c>
      <c r="B79" s="7" t="s">
        <v>320</v>
      </c>
      <c r="C79" s="7" t="s">
        <v>51</v>
      </c>
      <c r="D79" s="7" t="s">
        <v>507</v>
      </c>
      <c r="E79" s="7" t="s">
        <v>508</v>
      </c>
      <c r="F79" s="7" t="n">
        <v>5553</v>
      </c>
      <c r="G79" s="7" t="n">
        <v>3</v>
      </c>
      <c r="H79" s="8" t="n">
        <v>5.97545480728149</v>
      </c>
      <c r="I79" s="8" t="n">
        <v>1</v>
      </c>
      <c r="J79" s="7" t="s">
        <v>43</v>
      </c>
      <c r="K79" s="9" t="s">
        <v>166</v>
      </c>
      <c r="L79" s="9" t="s">
        <v>509</v>
      </c>
    </row>
    <row r="80" customFormat="false" ht="348.5" hidden="false" customHeight="false" outlineLevel="0" collapsed="false">
      <c r="A80" s="7" t="s">
        <v>165</v>
      </c>
      <c r="B80" s="7" t="s">
        <v>324</v>
      </c>
      <c r="C80" s="7" t="s">
        <v>51</v>
      </c>
      <c r="D80" s="7" t="s">
        <v>349</v>
      </c>
      <c r="E80" s="7" t="s">
        <v>350</v>
      </c>
      <c r="F80" s="7" t="n">
        <v>3492</v>
      </c>
      <c r="G80" s="7" t="n">
        <v>1</v>
      </c>
      <c r="H80" s="8" t="n">
        <v>4.27149152755737</v>
      </c>
      <c r="I80" s="8" t="n">
        <v>1</v>
      </c>
      <c r="J80" s="7" t="s">
        <v>43</v>
      </c>
      <c r="K80" s="9" t="s">
        <v>166</v>
      </c>
      <c r="L80" s="9" t="s">
        <v>351</v>
      </c>
    </row>
    <row r="81" customFormat="false" ht="337.3" hidden="false" customHeight="false" outlineLevel="0" collapsed="false">
      <c r="A81" s="7" t="s">
        <v>165</v>
      </c>
      <c r="B81" s="7" t="s">
        <v>328</v>
      </c>
      <c r="C81" s="7" t="s">
        <v>51</v>
      </c>
      <c r="D81" s="7" t="s">
        <v>345</v>
      </c>
      <c r="E81" s="7" t="s">
        <v>346</v>
      </c>
      <c r="F81" s="7" t="n">
        <v>2048</v>
      </c>
      <c r="G81" s="7" t="n">
        <v>1</v>
      </c>
      <c r="H81" s="8" t="n">
        <v>3.19012689590454</v>
      </c>
      <c r="I81" s="8" t="n">
        <v>1</v>
      </c>
      <c r="J81" s="7" t="s">
        <v>43</v>
      </c>
      <c r="K81" s="9" t="s">
        <v>166</v>
      </c>
      <c r="L81" s="9" t="s">
        <v>347</v>
      </c>
    </row>
    <row r="82" customFormat="false" ht="527.6" hidden="false" customHeight="false" outlineLevel="0" collapsed="false">
      <c r="A82" s="7" t="s">
        <v>169</v>
      </c>
      <c r="B82" s="7" t="s">
        <v>320</v>
      </c>
      <c r="C82" s="7" t="s">
        <v>171</v>
      </c>
      <c r="D82" s="7" t="s">
        <v>510</v>
      </c>
      <c r="E82" s="7" t="s">
        <v>511</v>
      </c>
      <c r="F82" s="7" t="n">
        <v>3304</v>
      </c>
      <c r="G82" s="7" t="n">
        <v>1</v>
      </c>
      <c r="H82" s="8" t="n">
        <v>6.80341720581055</v>
      </c>
      <c r="I82" s="8" t="n">
        <v>1</v>
      </c>
      <c r="J82" s="7" t="s">
        <v>43</v>
      </c>
      <c r="K82" s="9" t="s">
        <v>172</v>
      </c>
      <c r="L82" s="9" t="s">
        <v>512</v>
      </c>
    </row>
    <row r="83" customFormat="false" ht="695.5" hidden="false" customHeight="false" outlineLevel="0" collapsed="false">
      <c r="A83" s="7" t="s">
        <v>169</v>
      </c>
      <c r="B83" s="7" t="s">
        <v>324</v>
      </c>
      <c r="C83" s="7" t="s">
        <v>171</v>
      </c>
      <c r="D83" s="7" t="s">
        <v>513</v>
      </c>
      <c r="E83" s="7" t="s">
        <v>514</v>
      </c>
      <c r="F83" s="7" t="n">
        <v>4710</v>
      </c>
      <c r="G83" s="7" t="n">
        <v>1</v>
      </c>
      <c r="H83" s="8" t="n">
        <v>4.28895902633667</v>
      </c>
      <c r="I83" s="8" t="n">
        <v>1</v>
      </c>
      <c r="J83" s="7" t="s">
        <v>43</v>
      </c>
      <c r="K83" s="9" t="s">
        <v>172</v>
      </c>
      <c r="L83" s="9" t="s">
        <v>515</v>
      </c>
    </row>
    <row r="84" customFormat="false" ht="438.05" hidden="false" customHeight="false" outlineLevel="0" collapsed="false">
      <c r="A84" s="7" t="s">
        <v>169</v>
      </c>
      <c r="B84" s="7" t="s">
        <v>328</v>
      </c>
      <c r="C84" s="7" t="s">
        <v>171</v>
      </c>
      <c r="D84" s="7" t="s">
        <v>516</v>
      </c>
      <c r="E84" s="7" t="s">
        <v>517</v>
      </c>
      <c r="F84" s="7" t="n">
        <v>4783</v>
      </c>
      <c r="G84" s="7" t="n">
        <v>1</v>
      </c>
      <c r="H84" s="8" t="n">
        <v>2.52008867263794</v>
      </c>
      <c r="I84" s="8" t="n">
        <v>1</v>
      </c>
      <c r="J84" s="7" t="s">
        <v>43</v>
      </c>
      <c r="K84" s="9" t="s">
        <v>172</v>
      </c>
      <c r="L84" s="9" t="s">
        <v>518</v>
      </c>
    </row>
    <row r="85" customFormat="false" ht="494" hidden="false" customHeight="false" outlineLevel="0" collapsed="false">
      <c r="A85" s="7" t="s">
        <v>169</v>
      </c>
      <c r="B85" s="7" t="s">
        <v>332</v>
      </c>
      <c r="C85" s="7" t="s">
        <v>171</v>
      </c>
      <c r="D85" s="7" t="s">
        <v>519</v>
      </c>
      <c r="E85" s="7" t="s">
        <v>520</v>
      </c>
      <c r="F85" s="7" t="n">
        <v>5005</v>
      </c>
      <c r="G85" s="7" t="n">
        <v>1</v>
      </c>
      <c r="H85" s="8" t="n">
        <v>2.9251561164856</v>
      </c>
      <c r="I85" s="8" t="n">
        <v>1</v>
      </c>
      <c r="J85" s="7" t="s">
        <v>43</v>
      </c>
      <c r="K85" s="9" t="s">
        <v>172</v>
      </c>
      <c r="L85" s="9" t="s">
        <v>521</v>
      </c>
    </row>
    <row r="86" customFormat="false" ht="438.05" hidden="false" customHeight="false" outlineLevel="0" collapsed="false">
      <c r="A86" s="7" t="s">
        <v>169</v>
      </c>
      <c r="B86" s="7" t="s">
        <v>348</v>
      </c>
      <c r="C86" s="7" t="s">
        <v>171</v>
      </c>
      <c r="D86" s="7" t="s">
        <v>522</v>
      </c>
      <c r="E86" s="7" t="s">
        <v>523</v>
      </c>
      <c r="F86" s="7" t="n">
        <v>4712</v>
      </c>
      <c r="G86" s="7" t="n">
        <v>1</v>
      </c>
      <c r="H86" s="8" t="n">
        <v>5.44050693511963</v>
      </c>
      <c r="I86" s="8" t="n">
        <v>1</v>
      </c>
      <c r="J86" s="7" t="s">
        <v>43</v>
      </c>
      <c r="K86" s="9" t="s">
        <v>172</v>
      </c>
      <c r="L86" s="9" t="s">
        <v>524</v>
      </c>
    </row>
    <row r="87" customFormat="false" ht="370.85" hidden="false" customHeight="false" outlineLevel="0" collapsed="false">
      <c r="A87" s="7" t="s">
        <v>175</v>
      </c>
      <c r="B87" s="7" t="s">
        <v>320</v>
      </c>
      <c r="C87" s="7" t="s">
        <v>177</v>
      </c>
      <c r="D87" s="7" t="s">
        <v>525</v>
      </c>
      <c r="E87" s="7" t="s">
        <v>526</v>
      </c>
      <c r="F87" s="7" t="n">
        <v>2131</v>
      </c>
      <c r="G87" s="7" t="n">
        <v>2</v>
      </c>
      <c r="H87" s="8" t="n">
        <v>7.78035497665405</v>
      </c>
      <c r="I87" s="8" t="n">
        <v>1</v>
      </c>
      <c r="J87" s="7" t="s">
        <v>43</v>
      </c>
      <c r="K87" s="9" t="s">
        <v>178</v>
      </c>
      <c r="L87" s="9" t="s">
        <v>527</v>
      </c>
    </row>
    <row r="88" customFormat="false" ht="583.55" hidden="false" customHeight="false" outlineLevel="0" collapsed="false">
      <c r="A88" s="7" t="s">
        <v>175</v>
      </c>
      <c r="B88" s="7" t="s">
        <v>324</v>
      </c>
      <c r="C88" s="7" t="s">
        <v>177</v>
      </c>
      <c r="D88" s="7" t="s">
        <v>528</v>
      </c>
      <c r="E88" s="7" t="s">
        <v>529</v>
      </c>
      <c r="F88" s="7" t="n">
        <v>2813</v>
      </c>
      <c r="G88" s="7" t="n">
        <v>2</v>
      </c>
      <c r="H88" s="8" t="n">
        <v>4.49813461303711</v>
      </c>
      <c r="I88" s="8" t="n">
        <v>1</v>
      </c>
      <c r="J88" s="7" t="s">
        <v>43</v>
      </c>
      <c r="K88" s="9" t="s">
        <v>178</v>
      </c>
      <c r="L88" s="9" t="s">
        <v>530</v>
      </c>
    </row>
    <row r="89" customFormat="false" ht="124.6" hidden="false" customHeight="false" outlineLevel="0" collapsed="false">
      <c r="A89" s="7" t="s">
        <v>175</v>
      </c>
      <c r="B89" s="7" t="s">
        <v>328</v>
      </c>
      <c r="C89" s="7" t="s">
        <v>177</v>
      </c>
      <c r="D89" s="7" t="s">
        <v>531</v>
      </c>
      <c r="E89" s="7" t="s">
        <v>532</v>
      </c>
      <c r="F89" s="7" t="n">
        <v>715</v>
      </c>
      <c r="G89" s="7" t="n">
        <v>1</v>
      </c>
      <c r="H89" s="8" t="n">
        <v>0.516540169715881</v>
      </c>
      <c r="I89" s="8" t="n">
        <v>1</v>
      </c>
      <c r="J89" s="7" t="s">
        <v>43</v>
      </c>
      <c r="K89" s="9" t="s">
        <v>178</v>
      </c>
      <c r="L89" s="9" t="s">
        <v>533</v>
      </c>
    </row>
    <row r="90" customFormat="false" ht="438.05" hidden="false" customHeight="false" outlineLevel="0" collapsed="false">
      <c r="A90" s="7" t="s">
        <v>181</v>
      </c>
      <c r="B90" s="7" t="s">
        <v>320</v>
      </c>
      <c r="C90" s="7" t="s">
        <v>57</v>
      </c>
      <c r="D90" s="7" t="s">
        <v>534</v>
      </c>
      <c r="E90" s="7" t="s">
        <v>535</v>
      </c>
      <c r="F90" s="7" t="n">
        <v>4707</v>
      </c>
      <c r="G90" s="7" t="n">
        <v>1</v>
      </c>
      <c r="H90" s="8" t="n">
        <v>-0.709105968475342</v>
      </c>
      <c r="I90" s="8" t="n">
        <v>1</v>
      </c>
      <c r="J90" s="7" t="s">
        <v>43</v>
      </c>
      <c r="K90" s="9" t="s">
        <v>182</v>
      </c>
      <c r="L90" s="9" t="s">
        <v>536</v>
      </c>
    </row>
    <row r="91" customFormat="false" ht="270.1" hidden="false" customHeight="false" outlineLevel="0" collapsed="false">
      <c r="A91" s="7" t="s">
        <v>181</v>
      </c>
      <c r="B91" s="7" t="s">
        <v>324</v>
      </c>
      <c r="C91" s="7" t="s">
        <v>57</v>
      </c>
      <c r="D91" s="7" t="s">
        <v>537</v>
      </c>
      <c r="E91" s="7" t="s">
        <v>538</v>
      </c>
      <c r="F91" s="7" t="n">
        <v>1801</v>
      </c>
      <c r="G91" s="7" t="n">
        <v>1</v>
      </c>
      <c r="H91" s="8" t="n">
        <v>-2.5282621383667</v>
      </c>
      <c r="I91" s="8" t="n">
        <v>1</v>
      </c>
      <c r="J91" s="7" t="s">
        <v>43</v>
      </c>
      <c r="K91" s="9" t="s">
        <v>182</v>
      </c>
      <c r="L91" s="9" t="s">
        <v>539</v>
      </c>
    </row>
    <row r="92" customFormat="false" ht="270.1" hidden="false" customHeight="false" outlineLevel="0" collapsed="false">
      <c r="A92" s="7" t="s">
        <v>185</v>
      </c>
      <c r="B92" s="7" t="s">
        <v>320</v>
      </c>
      <c r="C92" s="7" t="s">
        <v>187</v>
      </c>
      <c r="D92" s="7" t="s">
        <v>540</v>
      </c>
      <c r="E92" s="7" t="s">
        <v>541</v>
      </c>
      <c r="F92" s="7" t="n">
        <v>1670</v>
      </c>
      <c r="G92" s="7" t="n">
        <v>3</v>
      </c>
      <c r="H92" s="8" t="n">
        <v>4.85326051712036</v>
      </c>
      <c r="I92" s="8" t="n">
        <v>1</v>
      </c>
      <c r="J92" s="7" t="s">
        <v>43</v>
      </c>
      <c r="K92" s="9" t="s">
        <v>188</v>
      </c>
      <c r="L92" s="9" t="s">
        <v>542</v>
      </c>
    </row>
    <row r="93" customFormat="false" ht="471.6" hidden="false" customHeight="false" outlineLevel="0" collapsed="false">
      <c r="A93" s="7" t="s">
        <v>185</v>
      </c>
      <c r="B93" s="7" t="s">
        <v>324</v>
      </c>
      <c r="C93" s="7" t="s">
        <v>187</v>
      </c>
      <c r="D93" s="7" t="s">
        <v>543</v>
      </c>
      <c r="E93" s="7" t="s">
        <v>544</v>
      </c>
      <c r="F93" s="7" t="n">
        <v>8023</v>
      </c>
      <c r="G93" s="7" t="n">
        <v>1</v>
      </c>
      <c r="H93" s="8" t="n">
        <v>5.35528039932251</v>
      </c>
      <c r="I93" s="8" t="n">
        <v>1</v>
      </c>
      <c r="J93" s="7" t="s">
        <v>43</v>
      </c>
      <c r="K93" s="9" t="s">
        <v>188</v>
      </c>
      <c r="L93" s="9" t="s">
        <v>545</v>
      </c>
    </row>
    <row r="94" customFormat="false" ht="370.85" hidden="false" customHeight="false" outlineLevel="0" collapsed="false">
      <c r="A94" s="7" t="s">
        <v>185</v>
      </c>
      <c r="B94" s="7" t="s">
        <v>328</v>
      </c>
      <c r="C94" s="7" t="s">
        <v>187</v>
      </c>
      <c r="D94" s="7" t="s">
        <v>546</v>
      </c>
      <c r="E94" s="7" t="s">
        <v>547</v>
      </c>
      <c r="F94" s="7" t="n">
        <v>2034</v>
      </c>
      <c r="G94" s="7" t="n">
        <v>1</v>
      </c>
      <c r="H94" s="8" t="n">
        <v>0.524932026863098</v>
      </c>
      <c r="I94" s="8" t="n">
        <v>1</v>
      </c>
      <c r="J94" s="7" t="s">
        <v>43</v>
      </c>
      <c r="K94" s="9" t="s">
        <v>188</v>
      </c>
      <c r="L94" s="9" t="s">
        <v>548</v>
      </c>
    </row>
    <row r="95" customFormat="false" ht="370.85" hidden="false" customHeight="false" outlineLevel="0" collapsed="false">
      <c r="A95" s="7" t="s">
        <v>191</v>
      </c>
      <c r="B95" s="7" t="s">
        <v>320</v>
      </c>
      <c r="C95" s="7" t="s">
        <v>187</v>
      </c>
      <c r="D95" s="7" t="s">
        <v>546</v>
      </c>
      <c r="E95" s="7" t="s">
        <v>549</v>
      </c>
      <c r="F95" s="7" t="n">
        <v>2034</v>
      </c>
      <c r="G95" s="7" t="n">
        <v>3</v>
      </c>
      <c r="H95" s="8" t="n">
        <v>5.86865758895874</v>
      </c>
      <c r="I95" s="8" t="n">
        <v>1</v>
      </c>
      <c r="J95" s="7" t="s">
        <v>43</v>
      </c>
      <c r="K95" s="9" t="s">
        <v>192</v>
      </c>
      <c r="L95" s="9" t="s">
        <v>548</v>
      </c>
    </row>
    <row r="96" customFormat="false" ht="225.35" hidden="false" customHeight="false" outlineLevel="0" collapsed="false">
      <c r="A96" s="7" t="s">
        <v>191</v>
      </c>
      <c r="B96" s="7" t="s">
        <v>324</v>
      </c>
      <c r="C96" s="7" t="s">
        <v>187</v>
      </c>
      <c r="D96" s="7" t="s">
        <v>550</v>
      </c>
      <c r="E96" s="7" t="s">
        <v>551</v>
      </c>
      <c r="F96" s="7" t="n">
        <v>1525</v>
      </c>
      <c r="G96" s="7" t="n">
        <v>1</v>
      </c>
      <c r="H96" s="8" t="n">
        <v>3.10750412940979</v>
      </c>
      <c r="I96" s="8" t="n">
        <v>1</v>
      </c>
      <c r="J96" s="7" t="s">
        <v>43</v>
      </c>
      <c r="K96" s="9" t="s">
        <v>192</v>
      </c>
      <c r="L96" s="9" t="s">
        <v>552</v>
      </c>
    </row>
    <row r="97" customFormat="false" ht="393.25" hidden="false" customHeight="false" outlineLevel="0" collapsed="false">
      <c r="A97" s="7" t="s">
        <v>191</v>
      </c>
      <c r="B97" s="7" t="s">
        <v>328</v>
      </c>
      <c r="C97" s="7" t="s">
        <v>187</v>
      </c>
      <c r="D97" s="7" t="s">
        <v>553</v>
      </c>
      <c r="E97" s="7" t="s">
        <v>554</v>
      </c>
      <c r="F97" s="7" t="n">
        <v>4781</v>
      </c>
      <c r="G97" s="7" t="n">
        <v>1</v>
      </c>
      <c r="H97" s="8" t="n">
        <v>2.65644645690918</v>
      </c>
      <c r="I97" s="8" t="n">
        <v>1</v>
      </c>
      <c r="J97" s="7" t="s">
        <v>43</v>
      </c>
      <c r="K97" s="9" t="s">
        <v>192</v>
      </c>
      <c r="L97" s="9" t="s">
        <v>555</v>
      </c>
    </row>
    <row r="98" customFormat="false" ht="550" hidden="false" customHeight="false" outlineLevel="0" collapsed="false">
      <c r="A98" s="7" t="s">
        <v>195</v>
      </c>
      <c r="B98" s="7" t="s">
        <v>320</v>
      </c>
      <c r="C98" s="7" t="s">
        <v>69</v>
      </c>
      <c r="D98" s="7" t="s">
        <v>556</v>
      </c>
      <c r="E98" s="7" t="s">
        <v>557</v>
      </c>
      <c r="F98" s="7" t="n">
        <v>2968</v>
      </c>
      <c r="G98" s="7" t="n">
        <v>1</v>
      </c>
      <c r="H98" s="8" t="n">
        <v>2.54847002029419</v>
      </c>
      <c r="I98" s="8" t="n">
        <v>0.5</v>
      </c>
      <c r="J98" s="7" t="s">
        <v>43</v>
      </c>
      <c r="K98" s="9" t="s">
        <v>196</v>
      </c>
      <c r="L98" s="9" t="s">
        <v>558</v>
      </c>
    </row>
    <row r="99" customFormat="false" ht="225.35" hidden="false" customHeight="false" outlineLevel="0" collapsed="false">
      <c r="A99" s="7" t="s">
        <v>195</v>
      </c>
      <c r="B99" s="7" t="s">
        <v>324</v>
      </c>
      <c r="C99" s="7" t="s">
        <v>69</v>
      </c>
      <c r="D99" s="7" t="s">
        <v>492</v>
      </c>
      <c r="E99" s="7" t="s">
        <v>493</v>
      </c>
      <c r="F99" s="7" t="n">
        <v>1361</v>
      </c>
      <c r="G99" s="7" t="n">
        <v>1</v>
      </c>
      <c r="H99" s="8" t="n">
        <v>4.40153741836548</v>
      </c>
      <c r="I99" s="8" t="n">
        <v>0.5</v>
      </c>
      <c r="J99" s="7" t="s">
        <v>43</v>
      </c>
      <c r="K99" s="9" t="s">
        <v>196</v>
      </c>
      <c r="L99" s="9" t="s">
        <v>494</v>
      </c>
    </row>
    <row r="100" customFormat="false" ht="460.4" hidden="false" customHeight="false" outlineLevel="0" collapsed="false">
      <c r="A100" s="7" t="s">
        <v>195</v>
      </c>
      <c r="B100" s="7" t="s">
        <v>328</v>
      </c>
      <c r="C100" s="7" t="s">
        <v>69</v>
      </c>
      <c r="D100" s="7" t="s">
        <v>364</v>
      </c>
      <c r="E100" s="7" t="s">
        <v>365</v>
      </c>
      <c r="F100" s="7" t="n">
        <v>4583</v>
      </c>
      <c r="G100" s="7" t="n">
        <v>1</v>
      </c>
      <c r="H100" s="8" t="n">
        <v>4.79325485229492</v>
      </c>
      <c r="I100" s="8" t="n">
        <v>0.5</v>
      </c>
      <c r="J100" s="7" t="s">
        <v>43</v>
      </c>
      <c r="K100" s="9" t="s">
        <v>196</v>
      </c>
      <c r="L100" s="9" t="s">
        <v>366</v>
      </c>
    </row>
    <row r="101" customFormat="false" ht="270.1" hidden="false" customHeight="false" outlineLevel="0" collapsed="false">
      <c r="A101" s="7" t="s">
        <v>195</v>
      </c>
      <c r="B101" s="7" t="s">
        <v>332</v>
      </c>
      <c r="C101" s="7" t="s">
        <v>69</v>
      </c>
      <c r="D101" s="7" t="s">
        <v>358</v>
      </c>
      <c r="E101" s="7" t="s">
        <v>488</v>
      </c>
      <c r="F101" s="7" t="n">
        <v>2045</v>
      </c>
      <c r="G101" s="7" t="n">
        <v>1</v>
      </c>
      <c r="H101" s="8" t="n">
        <v>1.96287167072296</v>
      </c>
      <c r="I101" s="8" t="n">
        <v>0.5</v>
      </c>
      <c r="J101" s="7" t="s">
        <v>43</v>
      </c>
      <c r="K101" s="9" t="s">
        <v>196</v>
      </c>
      <c r="L101" s="9" t="s">
        <v>360</v>
      </c>
    </row>
    <row r="102" customFormat="false" ht="135.8" hidden="false" customHeight="false" outlineLevel="0" collapsed="false">
      <c r="A102" s="7" t="s">
        <v>195</v>
      </c>
      <c r="B102" s="7" t="s">
        <v>348</v>
      </c>
      <c r="C102" s="7" t="s">
        <v>69</v>
      </c>
      <c r="D102" s="7" t="s">
        <v>559</v>
      </c>
      <c r="E102" s="7" t="s">
        <v>560</v>
      </c>
      <c r="F102" s="7" t="n">
        <v>806</v>
      </c>
      <c r="G102" s="7" t="n">
        <v>1</v>
      </c>
      <c r="H102" s="8" t="n">
        <v>4.17340421676636</v>
      </c>
      <c r="I102" s="8" t="n">
        <v>0.5</v>
      </c>
      <c r="J102" s="7" t="s">
        <v>43</v>
      </c>
      <c r="K102" s="9" t="s">
        <v>196</v>
      </c>
      <c r="L102" s="9" t="s">
        <v>561</v>
      </c>
    </row>
    <row r="103" customFormat="false" ht="370.85" hidden="false" customHeight="false" outlineLevel="0" collapsed="false">
      <c r="A103" s="7" t="s">
        <v>199</v>
      </c>
      <c r="B103" s="7" t="s">
        <v>320</v>
      </c>
      <c r="C103" s="7" t="s">
        <v>126</v>
      </c>
      <c r="D103" s="7" t="s">
        <v>562</v>
      </c>
      <c r="E103" s="7" t="s">
        <v>563</v>
      </c>
      <c r="F103" s="7" t="n">
        <v>3448</v>
      </c>
      <c r="G103" s="7" t="n">
        <v>3</v>
      </c>
      <c r="H103" s="8" t="n">
        <v>6.7668514251709</v>
      </c>
      <c r="I103" s="8" t="n">
        <v>1</v>
      </c>
      <c r="J103" s="7" t="s">
        <v>43</v>
      </c>
      <c r="K103" s="9" t="s">
        <v>201</v>
      </c>
      <c r="L103" s="9" t="s">
        <v>564</v>
      </c>
    </row>
    <row r="104" customFormat="false" ht="337.3" hidden="false" customHeight="false" outlineLevel="0" collapsed="false">
      <c r="A104" s="7" t="s">
        <v>199</v>
      </c>
      <c r="B104" s="7" t="s">
        <v>324</v>
      </c>
      <c r="C104" s="7" t="s">
        <v>126</v>
      </c>
      <c r="D104" s="7" t="s">
        <v>565</v>
      </c>
      <c r="E104" s="7" t="s">
        <v>566</v>
      </c>
      <c r="F104" s="7" t="n">
        <v>2569</v>
      </c>
      <c r="G104" s="7" t="n">
        <v>1</v>
      </c>
      <c r="H104" s="8" t="n">
        <v>0.163098275661469</v>
      </c>
      <c r="I104" s="8" t="n">
        <v>1</v>
      </c>
      <c r="J104" s="7" t="s">
        <v>43</v>
      </c>
      <c r="K104" s="9" t="s">
        <v>201</v>
      </c>
      <c r="L104" s="9" t="s">
        <v>567</v>
      </c>
    </row>
    <row r="105" customFormat="false" ht="393.25" hidden="false" customHeight="false" outlineLevel="0" collapsed="false">
      <c r="A105" s="7" t="s">
        <v>199</v>
      </c>
      <c r="B105" s="7" t="s">
        <v>328</v>
      </c>
      <c r="C105" s="7" t="s">
        <v>126</v>
      </c>
      <c r="D105" s="7" t="s">
        <v>424</v>
      </c>
      <c r="E105" s="7" t="s">
        <v>568</v>
      </c>
      <c r="F105" s="7" t="n">
        <v>6664</v>
      </c>
      <c r="G105" s="7" t="n">
        <v>1</v>
      </c>
      <c r="H105" s="8" t="n">
        <v>0.910055935382843</v>
      </c>
      <c r="I105" s="8" t="n">
        <v>1</v>
      </c>
      <c r="J105" s="7" t="s">
        <v>43</v>
      </c>
      <c r="K105" s="9" t="s">
        <v>201</v>
      </c>
      <c r="L105" s="9" t="s">
        <v>426</v>
      </c>
    </row>
    <row r="106" customFormat="false" ht="113.4" hidden="false" customHeight="false" outlineLevel="0" collapsed="false">
      <c r="A106" s="7" t="s">
        <v>204</v>
      </c>
      <c r="B106" s="7" t="s">
        <v>320</v>
      </c>
      <c r="C106" s="7" t="s">
        <v>206</v>
      </c>
      <c r="D106" s="7" t="s">
        <v>569</v>
      </c>
      <c r="E106" s="7" t="s">
        <v>570</v>
      </c>
      <c r="F106" s="7" t="n">
        <v>970</v>
      </c>
      <c r="G106" s="7" t="n">
        <v>1</v>
      </c>
      <c r="H106" s="8" t="n">
        <v>6.09131526947022</v>
      </c>
      <c r="I106" s="8" t="n">
        <v>1</v>
      </c>
      <c r="J106" s="7" t="s">
        <v>43</v>
      </c>
      <c r="K106" s="9" t="s">
        <v>207</v>
      </c>
      <c r="L106" s="9" t="s">
        <v>571</v>
      </c>
    </row>
    <row r="107" customFormat="false" ht="438.05" hidden="false" customHeight="false" outlineLevel="0" collapsed="false">
      <c r="A107" s="7" t="s">
        <v>204</v>
      </c>
      <c r="B107" s="7" t="s">
        <v>324</v>
      </c>
      <c r="C107" s="7" t="s">
        <v>206</v>
      </c>
      <c r="D107" s="7" t="s">
        <v>572</v>
      </c>
      <c r="E107" s="7" t="s">
        <v>573</v>
      </c>
      <c r="F107" s="7" t="n">
        <v>3752</v>
      </c>
      <c r="G107" s="7" t="n">
        <v>2</v>
      </c>
      <c r="H107" s="8" t="n">
        <v>4.23954343795776</v>
      </c>
      <c r="I107" s="8" t="n">
        <v>1</v>
      </c>
      <c r="J107" s="7" t="s">
        <v>43</v>
      </c>
      <c r="K107" s="9" t="s">
        <v>207</v>
      </c>
      <c r="L107" s="9" t="s">
        <v>574</v>
      </c>
    </row>
    <row r="108" customFormat="false" ht="415.65" hidden="false" customHeight="false" outlineLevel="0" collapsed="false">
      <c r="A108" s="7" t="s">
        <v>204</v>
      </c>
      <c r="B108" s="7" t="s">
        <v>328</v>
      </c>
      <c r="C108" s="7" t="s">
        <v>206</v>
      </c>
      <c r="D108" s="7" t="s">
        <v>575</v>
      </c>
      <c r="E108" s="7" t="s">
        <v>576</v>
      </c>
      <c r="F108" s="7" t="n">
        <v>5698</v>
      </c>
      <c r="G108" s="7" t="n">
        <v>1</v>
      </c>
      <c r="H108" s="8" t="n">
        <v>1.32259392738342</v>
      </c>
      <c r="I108" s="8" t="n">
        <v>1</v>
      </c>
      <c r="J108" s="7" t="s">
        <v>43</v>
      </c>
      <c r="K108" s="9" t="s">
        <v>207</v>
      </c>
      <c r="L108" s="9" t="s">
        <v>577</v>
      </c>
    </row>
    <row r="109" customFormat="false" ht="426.85" hidden="false" customHeight="false" outlineLevel="0" collapsed="false">
      <c r="A109" s="7" t="s">
        <v>204</v>
      </c>
      <c r="B109" s="7" t="s">
        <v>332</v>
      </c>
      <c r="C109" s="7" t="s">
        <v>206</v>
      </c>
      <c r="D109" s="7" t="s">
        <v>578</v>
      </c>
      <c r="E109" s="7" t="s">
        <v>579</v>
      </c>
      <c r="F109" s="7" t="n">
        <v>6256</v>
      </c>
      <c r="G109" s="7" t="n">
        <v>1</v>
      </c>
      <c r="H109" s="8" t="n">
        <v>2.42992496490479</v>
      </c>
      <c r="I109" s="8" t="n">
        <v>1</v>
      </c>
      <c r="J109" s="7" t="s">
        <v>43</v>
      </c>
      <c r="K109" s="9" t="s">
        <v>207</v>
      </c>
      <c r="L109" s="9" t="s">
        <v>580</v>
      </c>
    </row>
    <row r="110" customFormat="false" ht="594.75" hidden="false" customHeight="false" outlineLevel="0" collapsed="false">
      <c r="A110" s="7" t="s">
        <v>210</v>
      </c>
      <c r="B110" s="7" t="s">
        <v>320</v>
      </c>
      <c r="C110" s="7" t="s">
        <v>212</v>
      </c>
      <c r="D110" s="7" t="s">
        <v>581</v>
      </c>
      <c r="E110" s="7" t="s">
        <v>582</v>
      </c>
      <c r="F110" s="7" t="n">
        <v>2905</v>
      </c>
      <c r="G110" s="7" t="n">
        <v>1</v>
      </c>
      <c r="H110" s="8" t="n">
        <v>5.83360862731934</v>
      </c>
      <c r="I110" s="8" t="n">
        <v>1</v>
      </c>
      <c r="J110" s="7" t="s">
        <v>43</v>
      </c>
      <c r="K110" s="9" t="s">
        <v>213</v>
      </c>
      <c r="L110" s="9" t="s">
        <v>583</v>
      </c>
    </row>
    <row r="111" customFormat="false" ht="494" hidden="false" customHeight="false" outlineLevel="0" collapsed="false">
      <c r="A111" s="7" t="s">
        <v>210</v>
      </c>
      <c r="B111" s="7" t="s">
        <v>324</v>
      </c>
      <c r="C111" s="7" t="s">
        <v>212</v>
      </c>
      <c r="D111" s="7" t="s">
        <v>584</v>
      </c>
      <c r="E111" s="7" t="s">
        <v>585</v>
      </c>
      <c r="F111" s="7" t="n">
        <v>4491</v>
      </c>
      <c r="G111" s="7" t="n">
        <v>1</v>
      </c>
      <c r="H111" s="8" t="n">
        <v>2.8981020450592</v>
      </c>
      <c r="I111" s="8" t="n">
        <v>1</v>
      </c>
      <c r="J111" s="7" t="s">
        <v>43</v>
      </c>
      <c r="K111" s="9" t="s">
        <v>213</v>
      </c>
      <c r="L111" s="9" t="s">
        <v>586</v>
      </c>
    </row>
    <row r="112" customFormat="false" ht="482.8" hidden="false" customHeight="false" outlineLevel="0" collapsed="false">
      <c r="A112" s="7" t="s">
        <v>210</v>
      </c>
      <c r="B112" s="7" t="s">
        <v>328</v>
      </c>
      <c r="C112" s="7" t="s">
        <v>212</v>
      </c>
      <c r="D112" s="7" t="s">
        <v>587</v>
      </c>
      <c r="E112" s="7" t="s">
        <v>588</v>
      </c>
      <c r="F112" s="7" t="n">
        <v>4949</v>
      </c>
      <c r="G112" s="7" t="n">
        <v>1</v>
      </c>
      <c r="H112" s="8" t="n">
        <v>2.09224987030029</v>
      </c>
      <c r="I112" s="8" t="n">
        <v>1</v>
      </c>
      <c r="J112" s="7" t="s">
        <v>43</v>
      </c>
      <c r="K112" s="9" t="s">
        <v>213</v>
      </c>
      <c r="L112" s="9" t="s">
        <v>589</v>
      </c>
    </row>
    <row r="113" customFormat="false" ht="471.6" hidden="false" customHeight="false" outlineLevel="0" collapsed="false">
      <c r="A113" s="7" t="s">
        <v>210</v>
      </c>
      <c r="B113" s="7" t="s">
        <v>332</v>
      </c>
      <c r="C113" s="7" t="s">
        <v>212</v>
      </c>
      <c r="D113" s="7" t="s">
        <v>590</v>
      </c>
      <c r="E113" s="7" t="s">
        <v>591</v>
      </c>
      <c r="F113" s="7" t="n">
        <v>4818</v>
      </c>
      <c r="G113" s="7" t="n">
        <v>1</v>
      </c>
      <c r="H113" s="8" t="n">
        <v>2.82144069671631</v>
      </c>
      <c r="I113" s="8" t="n">
        <v>1</v>
      </c>
      <c r="J113" s="7" t="s">
        <v>43</v>
      </c>
      <c r="K113" s="9" t="s">
        <v>213</v>
      </c>
      <c r="L113" s="9" t="s">
        <v>592</v>
      </c>
    </row>
    <row r="114" customFormat="false" ht="460.4" hidden="false" customHeight="false" outlineLevel="0" collapsed="false">
      <c r="A114" s="7" t="s">
        <v>210</v>
      </c>
      <c r="B114" s="7" t="s">
        <v>348</v>
      </c>
      <c r="C114" s="7" t="s">
        <v>212</v>
      </c>
      <c r="D114" s="7" t="s">
        <v>593</v>
      </c>
      <c r="E114" s="7" t="s">
        <v>594</v>
      </c>
      <c r="F114" s="7" t="n">
        <v>4981</v>
      </c>
      <c r="G114" s="7" t="n">
        <v>1</v>
      </c>
      <c r="H114" s="8" t="n">
        <v>2.5356330871582</v>
      </c>
      <c r="I114" s="8" t="n">
        <v>1</v>
      </c>
      <c r="J114" s="7" t="s">
        <v>43</v>
      </c>
      <c r="K114" s="9" t="s">
        <v>213</v>
      </c>
      <c r="L114" s="9" t="s">
        <v>595</v>
      </c>
    </row>
    <row r="115" customFormat="false" ht="258.95" hidden="false" customHeight="false" outlineLevel="0" collapsed="false">
      <c r="A115" s="7" t="s">
        <v>216</v>
      </c>
      <c r="B115" s="7" t="s">
        <v>320</v>
      </c>
      <c r="C115" s="7" t="s">
        <v>45</v>
      </c>
      <c r="D115" s="7" t="s">
        <v>329</v>
      </c>
      <c r="E115" s="7" t="s">
        <v>436</v>
      </c>
      <c r="F115" s="7" t="n">
        <v>2223</v>
      </c>
      <c r="G115" s="7" t="n">
        <v>1</v>
      </c>
      <c r="H115" s="8" t="n">
        <v>5.45220565795898</v>
      </c>
      <c r="I115" s="8" t="n">
        <v>1</v>
      </c>
      <c r="J115" s="7" t="s">
        <v>43</v>
      </c>
      <c r="K115" s="9" t="s">
        <v>217</v>
      </c>
      <c r="L115" s="9" t="s">
        <v>331</v>
      </c>
    </row>
    <row r="116" customFormat="false" ht="270.1" hidden="false" customHeight="false" outlineLevel="0" collapsed="false">
      <c r="A116" s="7" t="s">
        <v>216</v>
      </c>
      <c r="B116" s="7" t="s">
        <v>324</v>
      </c>
      <c r="C116" s="7" t="s">
        <v>45</v>
      </c>
      <c r="D116" s="7" t="s">
        <v>321</v>
      </c>
      <c r="E116" s="7" t="s">
        <v>322</v>
      </c>
      <c r="F116" s="7" t="n">
        <v>2239</v>
      </c>
      <c r="G116" s="7" t="n">
        <v>1</v>
      </c>
      <c r="H116" s="8" t="n">
        <v>6.11273384094238</v>
      </c>
      <c r="I116" s="8" t="n">
        <v>1</v>
      </c>
      <c r="J116" s="7" t="s">
        <v>43</v>
      </c>
      <c r="K116" s="9" t="s">
        <v>217</v>
      </c>
      <c r="L116" s="9" t="s">
        <v>323</v>
      </c>
    </row>
    <row r="117" customFormat="false" ht="113.4" hidden="false" customHeight="false" outlineLevel="0" collapsed="false">
      <c r="A117" s="7" t="s">
        <v>216</v>
      </c>
      <c r="B117" s="7" t="s">
        <v>328</v>
      </c>
      <c r="C117" s="7" t="s">
        <v>45</v>
      </c>
      <c r="D117" s="7" t="s">
        <v>596</v>
      </c>
      <c r="E117" s="7" t="s">
        <v>597</v>
      </c>
      <c r="F117" s="7" t="n">
        <v>842</v>
      </c>
      <c r="G117" s="7" t="n">
        <v>1</v>
      </c>
      <c r="H117" s="8" t="n">
        <v>3.36575055122376</v>
      </c>
      <c r="I117" s="8" t="n">
        <v>1</v>
      </c>
      <c r="J117" s="7" t="s">
        <v>43</v>
      </c>
      <c r="K117" s="9" t="s">
        <v>217</v>
      </c>
      <c r="L117" s="9" t="s">
        <v>598</v>
      </c>
    </row>
    <row r="118" customFormat="false" ht="113.4" hidden="false" customHeight="false" outlineLevel="0" collapsed="false">
      <c r="A118" s="7" t="s">
        <v>216</v>
      </c>
      <c r="B118" s="7" t="s">
        <v>332</v>
      </c>
      <c r="C118" s="7" t="s">
        <v>45</v>
      </c>
      <c r="D118" s="7" t="s">
        <v>333</v>
      </c>
      <c r="E118" s="7" t="s">
        <v>334</v>
      </c>
      <c r="F118" s="7" t="n">
        <v>487</v>
      </c>
      <c r="G118" s="7" t="n">
        <v>1</v>
      </c>
      <c r="H118" s="8" t="n">
        <v>4.2344274520874</v>
      </c>
      <c r="I118" s="8" t="n">
        <v>1</v>
      </c>
      <c r="J118" s="7" t="s">
        <v>43</v>
      </c>
      <c r="K118" s="9" t="s">
        <v>217</v>
      </c>
      <c r="L118" s="9" t="s">
        <v>335</v>
      </c>
    </row>
    <row r="119" customFormat="false" ht="91" hidden="false" customHeight="false" outlineLevel="0" collapsed="false">
      <c r="A119" s="7" t="s">
        <v>216</v>
      </c>
      <c r="B119" s="7" t="s">
        <v>348</v>
      </c>
      <c r="C119" s="7" t="s">
        <v>45</v>
      </c>
      <c r="D119" s="7" t="s">
        <v>325</v>
      </c>
      <c r="E119" s="7" t="s">
        <v>326</v>
      </c>
      <c r="F119" s="7" t="n">
        <v>500</v>
      </c>
      <c r="G119" s="7" t="n">
        <v>1</v>
      </c>
      <c r="H119" s="8" t="n">
        <v>3.08435010910034</v>
      </c>
      <c r="I119" s="8" t="n">
        <v>1</v>
      </c>
      <c r="J119" s="7" t="s">
        <v>43</v>
      </c>
      <c r="K119" s="9" t="s">
        <v>217</v>
      </c>
      <c r="L119" s="9" t="s">
        <v>327</v>
      </c>
    </row>
    <row r="120" customFormat="false" ht="169.4" hidden="false" customHeight="false" outlineLevel="0" collapsed="false">
      <c r="A120" s="7" t="s">
        <v>220</v>
      </c>
      <c r="B120" s="7" t="s">
        <v>320</v>
      </c>
      <c r="C120" s="7" t="s">
        <v>222</v>
      </c>
      <c r="D120" s="7" t="s">
        <v>599</v>
      </c>
      <c r="E120" s="7" t="s">
        <v>600</v>
      </c>
      <c r="F120" s="7" t="n">
        <v>1404</v>
      </c>
      <c r="G120" s="7" t="n">
        <v>2</v>
      </c>
      <c r="H120" s="8" t="n">
        <v>6.47247791290283</v>
      </c>
      <c r="I120" s="8" t="n">
        <v>1</v>
      </c>
      <c r="J120" s="7" t="s">
        <v>43</v>
      </c>
      <c r="K120" s="9" t="s">
        <v>223</v>
      </c>
      <c r="L120" s="9" t="s">
        <v>601</v>
      </c>
    </row>
    <row r="121" customFormat="false" ht="258.95" hidden="false" customHeight="false" outlineLevel="0" collapsed="false">
      <c r="A121" s="7" t="s">
        <v>220</v>
      </c>
      <c r="B121" s="7" t="s">
        <v>324</v>
      </c>
      <c r="C121" s="7" t="s">
        <v>222</v>
      </c>
      <c r="D121" s="7" t="s">
        <v>602</v>
      </c>
      <c r="E121" s="7" t="s">
        <v>603</v>
      </c>
      <c r="F121" s="7" t="n">
        <v>1671</v>
      </c>
      <c r="G121" s="7" t="n">
        <v>1</v>
      </c>
      <c r="H121" s="8" t="n">
        <v>4.92566871643066</v>
      </c>
      <c r="I121" s="8" t="n">
        <v>1</v>
      </c>
      <c r="J121" s="7" t="s">
        <v>43</v>
      </c>
      <c r="K121" s="9" t="s">
        <v>223</v>
      </c>
      <c r="L121" s="9" t="s">
        <v>604</v>
      </c>
    </row>
    <row r="122" customFormat="false" ht="270.1" hidden="false" customHeight="false" outlineLevel="0" collapsed="false">
      <c r="A122" s="7" t="s">
        <v>220</v>
      </c>
      <c r="B122" s="7" t="s">
        <v>328</v>
      </c>
      <c r="C122" s="7" t="s">
        <v>222</v>
      </c>
      <c r="D122" s="7" t="s">
        <v>605</v>
      </c>
      <c r="E122" s="7" t="s">
        <v>606</v>
      </c>
      <c r="F122" s="7" t="n">
        <v>2430</v>
      </c>
      <c r="G122" s="7" t="n">
        <v>1</v>
      </c>
      <c r="H122" s="8" t="n">
        <v>2.14628171920776</v>
      </c>
      <c r="I122" s="8" t="n">
        <v>1</v>
      </c>
      <c r="J122" s="7" t="s">
        <v>43</v>
      </c>
      <c r="K122" s="9" t="s">
        <v>223</v>
      </c>
      <c r="L122" s="9" t="s">
        <v>607</v>
      </c>
    </row>
    <row r="123" customFormat="false" ht="482.8" hidden="false" customHeight="false" outlineLevel="0" collapsed="false">
      <c r="A123" s="7" t="s">
        <v>226</v>
      </c>
      <c r="B123" s="7" t="s">
        <v>320</v>
      </c>
      <c r="C123" s="7" t="s">
        <v>51</v>
      </c>
      <c r="D123" s="7" t="s">
        <v>342</v>
      </c>
      <c r="E123" s="7" t="s">
        <v>608</v>
      </c>
      <c r="F123" s="7" t="n">
        <v>7626</v>
      </c>
      <c r="G123" s="7" t="n">
        <v>5</v>
      </c>
      <c r="H123" s="8" t="n">
        <v>6.61553764343262</v>
      </c>
      <c r="I123" s="8" t="n">
        <v>1</v>
      </c>
      <c r="J123" s="7" t="s">
        <v>43</v>
      </c>
      <c r="K123" s="9" t="s">
        <v>227</v>
      </c>
      <c r="L123" s="9" t="s">
        <v>344</v>
      </c>
    </row>
    <row r="124" customFormat="false" ht="68.65" hidden="false" customHeight="false" outlineLevel="0" collapsed="false">
      <c r="A124" s="7" t="s">
        <v>230</v>
      </c>
      <c r="B124" s="7" t="s">
        <v>320</v>
      </c>
      <c r="C124" s="7" t="s">
        <v>396</v>
      </c>
      <c r="D124" s="7" t="s">
        <v>455</v>
      </c>
      <c r="E124" s="7" t="s">
        <v>456</v>
      </c>
      <c r="F124" s="7" t="n">
        <v>686</v>
      </c>
      <c r="G124" s="7" t="n">
        <v>1</v>
      </c>
      <c r="H124" s="8" t="n">
        <v>1.90231275558472</v>
      </c>
      <c r="I124" s="8" t="n">
        <v>1</v>
      </c>
      <c r="J124" s="7" t="s">
        <v>90</v>
      </c>
      <c r="K124" s="9" t="s">
        <v>233</v>
      </c>
      <c r="L124" s="9" t="s">
        <v>457</v>
      </c>
    </row>
    <row r="125" customFormat="false" ht="247.75" hidden="false" customHeight="false" outlineLevel="0" collapsed="false">
      <c r="A125" s="7" t="s">
        <v>230</v>
      </c>
      <c r="B125" s="7" t="s">
        <v>324</v>
      </c>
      <c r="C125" s="7" t="s">
        <v>69</v>
      </c>
      <c r="D125" s="7" t="s">
        <v>411</v>
      </c>
      <c r="E125" s="7" t="s">
        <v>412</v>
      </c>
      <c r="F125" s="7" t="n">
        <v>1469</v>
      </c>
      <c r="G125" s="7" t="n">
        <v>1</v>
      </c>
      <c r="H125" s="8" t="n">
        <v>-0.0114432908594608</v>
      </c>
      <c r="I125" s="8" t="n">
        <v>1</v>
      </c>
      <c r="J125" s="7" t="s">
        <v>90</v>
      </c>
      <c r="K125" s="9" t="s">
        <v>233</v>
      </c>
      <c r="L125" s="9" t="s">
        <v>413</v>
      </c>
    </row>
    <row r="126" customFormat="false" ht="404.45" hidden="false" customHeight="false" outlineLevel="0" collapsed="false">
      <c r="A126" s="7" t="s">
        <v>230</v>
      </c>
      <c r="B126" s="7" t="s">
        <v>328</v>
      </c>
      <c r="C126" s="7" t="s">
        <v>414</v>
      </c>
      <c r="D126" s="7" t="s">
        <v>443</v>
      </c>
      <c r="E126" s="7" t="s">
        <v>444</v>
      </c>
      <c r="F126" s="7" t="n">
        <v>3585</v>
      </c>
      <c r="G126" s="7" t="n">
        <v>1</v>
      </c>
      <c r="H126" s="8" t="n">
        <v>0.594806373119354</v>
      </c>
      <c r="I126" s="8" t="n">
        <v>1</v>
      </c>
      <c r="J126" s="7" t="s">
        <v>90</v>
      </c>
      <c r="K126" s="9" t="s">
        <v>233</v>
      </c>
      <c r="L126" s="9" t="s">
        <v>445</v>
      </c>
    </row>
    <row r="127" customFormat="false" ht="270.1" hidden="false" customHeight="false" outlineLevel="0" collapsed="false">
      <c r="A127" s="7" t="s">
        <v>230</v>
      </c>
      <c r="B127" s="7" t="s">
        <v>332</v>
      </c>
      <c r="C127" s="7" t="s">
        <v>69</v>
      </c>
      <c r="D127" s="7" t="s">
        <v>358</v>
      </c>
      <c r="E127" s="7" t="s">
        <v>609</v>
      </c>
      <c r="F127" s="7" t="n">
        <v>2045</v>
      </c>
      <c r="G127" s="7" t="n">
        <v>1</v>
      </c>
      <c r="H127" s="8" t="n">
        <v>-0.217685624957085</v>
      </c>
      <c r="I127" s="8" t="n">
        <v>1</v>
      </c>
      <c r="J127" s="7" t="s">
        <v>90</v>
      </c>
      <c r="K127" s="9" t="s">
        <v>233</v>
      </c>
      <c r="L127" s="9" t="s">
        <v>360</v>
      </c>
    </row>
    <row r="128" customFormat="false" ht="404.45" hidden="false" customHeight="false" outlineLevel="0" collapsed="false">
      <c r="A128" s="7" t="s">
        <v>230</v>
      </c>
      <c r="B128" s="7" t="s">
        <v>348</v>
      </c>
      <c r="C128" s="7" t="s">
        <v>418</v>
      </c>
      <c r="D128" s="7" t="s">
        <v>449</v>
      </c>
      <c r="E128" s="7" t="s">
        <v>444</v>
      </c>
      <c r="F128" s="7" t="n">
        <v>3201</v>
      </c>
      <c r="G128" s="7" t="n">
        <v>1</v>
      </c>
      <c r="H128" s="8" t="n">
        <v>0.618384599685669</v>
      </c>
      <c r="I128" s="8" t="n">
        <v>1</v>
      </c>
      <c r="J128" s="7" t="s">
        <v>90</v>
      </c>
      <c r="K128" s="9" t="s">
        <v>233</v>
      </c>
      <c r="L128" s="9" t="s">
        <v>451</v>
      </c>
    </row>
    <row r="129" customFormat="false" ht="46.25" hidden="false" customHeight="false" outlineLevel="0" collapsed="false">
      <c r="A129" s="7" t="s">
        <v>230</v>
      </c>
      <c r="B129" s="7" t="s">
        <v>410</v>
      </c>
      <c r="C129" s="7" t="s">
        <v>396</v>
      </c>
      <c r="D129" s="7" t="s">
        <v>403</v>
      </c>
      <c r="E129" s="7" t="s">
        <v>398</v>
      </c>
      <c r="F129" s="7" t="n">
        <v>469</v>
      </c>
      <c r="G129" s="7" t="n">
        <v>1</v>
      </c>
      <c r="H129" s="8" t="n">
        <v>0.184376165270805</v>
      </c>
      <c r="I129" s="8" t="n">
        <v>1</v>
      </c>
      <c r="J129" s="7" t="s">
        <v>90</v>
      </c>
      <c r="K129" s="9" t="s">
        <v>233</v>
      </c>
      <c r="L129" s="9" t="s">
        <v>404</v>
      </c>
    </row>
    <row r="130" customFormat="false" ht="79.85" hidden="false" customHeight="false" outlineLevel="0" collapsed="false">
      <c r="A130" s="7" t="s">
        <v>230</v>
      </c>
      <c r="B130" s="7" t="s">
        <v>461</v>
      </c>
      <c r="C130" s="7" t="s">
        <v>396</v>
      </c>
      <c r="D130" s="7" t="s">
        <v>610</v>
      </c>
      <c r="E130" s="7" t="s">
        <v>611</v>
      </c>
      <c r="F130" s="7" t="n">
        <v>746</v>
      </c>
      <c r="G130" s="7" t="n">
        <v>1</v>
      </c>
      <c r="H130" s="8" t="n">
        <v>0.272920727729797</v>
      </c>
      <c r="I130" s="8" t="n">
        <v>1</v>
      </c>
      <c r="J130" s="7" t="s">
        <v>90</v>
      </c>
      <c r="K130" s="9" t="s">
        <v>233</v>
      </c>
      <c r="L130" s="9" t="s">
        <v>612</v>
      </c>
    </row>
    <row r="131" customFormat="false" ht="91" hidden="false" customHeight="false" outlineLevel="0" collapsed="false">
      <c r="A131" s="7" t="s">
        <v>236</v>
      </c>
      <c r="B131" s="7" t="s">
        <v>320</v>
      </c>
      <c r="C131" s="7" t="s">
        <v>63</v>
      </c>
      <c r="D131" s="7" t="s">
        <v>391</v>
      </c>
      <c r="E131" s="7" t="s">
        <v>392</v>
      </c>
      <c r="F131" s="7" t="n">
        <v>708</v>
      </c>
      <c r="G131" s="7" t="n">
        <v>1</v>
      </c>
      <c r="H131" s="8" t="n">
        <v>3.29233145713806</v>
      </c>
      <c r="I131" s="8" t="n">
        <v>0.5</v>
      </c>
      <c r="J131" s="7" t="s">
        <v>90</v>
      </c>
      <c r="K131" s="9" t="s">
        <v>237</v>
      </c>
      <c r="L131" s="9" t="s">
        <v>393</v>
      </c>
    </row>
    <row r="132" customFormat="false" ht="270.1" hidden="false" customHeight="false" outlineLevel="0" collapsed="false">
      <c r="A132" s="7" t="s">
        <v>236</v>
      </c>
      <c r="B132" s="7" t="s">
        <v>324</v>
      </c>
      <c r="C132" s="7" t="s">
        <v>69</v>
      </c>
      <c r="D132" s="7" t="s">
        <v>358</v>
      </c>
      <c r="E132" s="7" t="s">
        <v>394</v>
      </c>
      <c r="F132" s="7" t="n">
        <v>2045</v>
      </c>
      <c r="G132" s="7" t="n">
        <v>2</v>
      </c>
      <c r="H132" s="8" t="n">
        <v>2.64517855644226</v>
      </c>
      <c r="I132" s="8" t="n">
        <v>0.5</v>
      </c>
      <c r="J132" s="7" t="s">
        <v>90</v>
      </c>
      <c r="K132" s="9" t="s">
        <v>237</v>
      </c>
      <c r="L132" s="9" t="s">
        <v>360</v>
      </c>
    </row>
    <row r="133" customFormat="false" ht="415.65" hidden="false" customHeight="false" outlineLevel="0" collapsed="false">
      <c r="A133" s="7" t="s">
        <v>236</v>
      </c>
      <c r="B133" s="7" t="s">
        <v>328</v>
      </c>
      <c r="C133" s="7" t="s">
        <v>63</v>
      </c>
      <c r="D133" s="7" t="s">
        <v>613</v>
      </c>
      <c r="E133" s="7" t="s">
        <v>614</v>
      </c>
      <c r="F133" s="7" t="n">
        <v>4744</v>
      </c>
      <c r="G133" s="7" t="n">
        <v>1</v>
      </c>
      <c r="H133" s="8" t="n">
        <v>0.0430972501635552</v>
      </c>
      <c r="I133" s="8" t="n">
        <v>0.5</v>
      </c>
      <c r="J133" s="7" t="s">
        <v>90</v>
      </c>
      <c r="K133" s="9" t="s">
        <v>237</v>
      </c>
      <c r="L133" s="9" t="s">
        <v>615</v>
      </c>
    </row>
    <row r="134" customFormat="false" ht="460.4" hidden="false" customHeight="false" outlineLevel="0" collapsed="false">
      <c r="A134" s="7" t="s">
        <v>236</v>
      </c>
      <c r="B134" s="7" t="s">
        <v>332</v>
      </c>
      <c r="C134" s="7" t="s">
        <v>69</v>
      </c>
      <c r="D134" s="7" t="s">
        <v>364</v>
      </c>
      <c r="E134" s="7" t="s">
        <v>616</v>
      </c>
      <c r="F134" s="7" t="n">
        <v>4583</v>
      </c>
      <c r="G134" s="7" t="n">
        <v>3</v>
      </c>
      <c r="H134" s="8" t="n">
        <v>3.04020929336548</v>
      </c>
      <c r="I134" s="8" t="n">
        <v>0.5</v>
      </c>
      <c r="J134" s="7" t="s">
        <v>90</v>
      </c>
      <c r="K134" s="9" t="s">
        <v>237</v>
      </c>
      <c r="L134" s="9" t="s">
        <v>366</v>
      </c>
    </row>
    <row r="135" customFormat="false" ht="314.9" hidden="false" customHeight="false" outlineLevel="0" collapsed="false">
      <c r="A135" s="7" t="s">
        <v>240</v>
      </c>
      <c r="B135" s="7" t="s">
        <v>320</v>
      </c>
      <c r="C135" s="7" t="s">
        <v>63</v>
      </c>
      <c r="D135" s="7" t="s">
        <v>469</v>
      </c>
      <c r="E135" s="7" t="s">
        <v>617</v>
      </c>
      <c r="F135" s="7" t="n">
        <v>2379</v>
      </c>
      <c r="G135" s="7" t="n">
        <v>1</v>
      </c>
      <c r="H135" s="8" t="n">
        <v>0.446011185646057</v>
      </c>
      <c r="I135" s="8" t="n">
        <v>0.5</v>
      </c>
      <c r="J135" s="7" t="s">
        <v>90</v>
      </c>
      <c r="K135" s="9" t="s">
        <v>242</v>
      </c>
      <c r="L135" s="9" t="s">
        <v>471</v>
      </c>
    </row>
    <row r="136" customFormat="false" ht="348.5" hidden="false" customHeight="false" outlineLevel="0" collapsed="false">
      <c r="A136" s="7" t="s">
        <v>240</v>
      </c>
      <c r="B136" s="7" t="s">
        <v>324</v>
      </c>
      <c r="C136" s="7" t="s">
        <v>69</v>
      </c>
      <c r="D136" s="7" t="s">
        <v>618</v>
      </c>
      <c r="E136" s="7" t="s">
        <v>619</v>
      </c>
      <c r="F136" s="7" t="n">
        <v>1632</v>
      </c>
      <c r="G136" s="7" t="n">
        <v>1</v>
      </c>
      <c r="H136" s="8" t="n">
        <v>3.34425449371338</v>
      </c>
      <c r="I136" s="8" t="n">
        <v>0.5</v>
      </c>
      <c r="J136" s="7" t="s">
        <v>90</v>
      </c>
      <c r="K136" s="9" t="s">
        <v>242</v>
      </c>
      <c r="L136" s="9" t="s">
        <v>620</v>
      </c>
    </row>
    <row r="137" customFormat="false" ht="124.6" hidden="false" customHeight="false" outlineLevel="0" collapsed="false">
      <c r="A137" s="7" t="s">
        <v>240</v>
      </c>
      <c r="B137" s="7" t="s">
        <v>328</v>
      </c>
      <c r="C137" s="7" t="s">
        <v>63</v>
      </c>
      <c r="D137" s="7" t="s">
        <v>464</v>
      </c>
      <c r="E137" s="7" t="s">
        <v>465</v>
      </c>
      <c r="F137" s="7" t="n">
        <v>863</v>
      </c>
      <c r="G137" s="7" t="n">
        <v>2</v>
      </c>
      <c r="H137" s="8" t="n">
        <v>4.43833732604981</v>
      </c>
      <c r="I137" s="8" t="n">
        <v>0.5</v>
      </c>
      <c r="J137" s="7" t="s">
        <v>90</v>
      </c>
      <c r="K137" s="9" t="s">
        <v>242</v>
      </c>
      <c r="L137" s="9" t="s">
        <v>466</v>
      </c>
    </row>
    <row r="138" customFormat="false" ht="438.05" hidden="false" customHeight="false" outlineLevel="0" collapsed="false">
      <c r="A138" s="7" t="s">
        <v>240</v>
      </c>
      <c r="B138" s="7" t="s">
        <v>332</v>
      </c>
      <c r="C138" s="7" t="s">
        <v>69</v>
      </c>
      <c r="D138" s="7" t="s">
        <v>621</v>
      </c>
      <c r="E138" s="7" t="s">
        <v>622</v>
      </c>
      <c r="F138" s="7" t="n">
        <v>2364</v>
      </c>
      <c r="G138" s="7" t="n">
        <v>1</v>
      </c>
      <c r="H138" s="8" t="n">
        <v>0.817231118679047</v>
      </c>
      <c r="I138" s="8" t="n">
        <v>0.5</v>
      </c>
      <c r="J138" s="7" t="s">
        <v>90</v>
      </c>
      <c r="K138" s="9" t="s">
        <v>242</v>
      </c>
      <c r="L138" s="9" t="s">
        <v>623</v>
      </c>
    </row>
    <row r="139" customFormat="false" ht="236.55" hidden="false" customHeight="false" outlineLevel="0" collapsed="false">
      <c r="A139" s="7" t="s">
        <v>240</v>
      </c>
      <c r="B139" s="7" t="s">
        <v>348</v>
      </c>
      <c r="C139" s="7" t="s">
        <v>69</v>
      </c>
      <c r="D139" s="7" t="s">
        <v>430</v>
      </c>
      <c r="E139" s="7" t="s">
        <v>478</v>
      </c>
      <c r="F139" s="7" t="n">
        <v>1095</v>
      </c>
      <c r="G139" s="7" t="n">
        <v>1</v>
      </c>
      <c r="H139" s="8" t="n">
        <v>2.01523995399475</v>
      </c>
      <c r="I139" s="8" t="n">
        <v>0.5</v>
      </c>
      <c r="J139" s="7" t="s">
        <v>90</v>
      </c>
      <c r="K139" s="9" t="s">
        <v>242</v>
      </c>
      <c r="L139" s="9" t="s">
        <v>432</v>
      </c>
    </row>
    <row r="140" customFormat="false" ht="404.45" hidden="false" customHeight="false" outlineLevel="0" collapsed="false">
      <c r="A140" s="7" t="s">
        <v>240</v>
      </c>
      <c r="B140" s="7" t="s">
        <v>410</v>
      </c>
      <c r="C140" s="7" t="s">
        <v>414</v>
      </c>
      <c r="D140" s="7" t="s">
        <v>443</v>
      </c>
      <c r="E140" s="7" t="s">
        <v>444</v>
      </c>
      <c r="F140" s="7" t="n">
        <v>3585</v>
      </c>
      <c r="G140" s="7" t="n">
        <v>1</v>
      </c>
      <c r="H140" s="8" t="n">
        <v>1.20642244815826</v>
      </c>
      <c r="I140" s="8" t="n">
        <v>0.5</v>
      </c>
      <c r="J140" s="7" t="s">
        <v>90</v>
      </c>
      <c r="K140" s="9" t="s">
        <v>242</v>
      </c>
      <c r="L140" s="9" t="s">
        <v>445</v>
      </c>
    </row>
    <row r="141" customFormat="false" ht="247.75" hidden="false" customHeight="false" outlineLevel="0" collapsed="false">
      <c r="A141" s="7" t="s">
        <v>240</v>
      </c>
      <c r="B141" s="7" t="s">
        <v>461</v>
      </c>
      <c r="C141" s="7" t="s">
        <v>69</v>
      </c>
      <c r="D141" s="7" t="s">
        <v>411</v>
      </c>
      <c r="E141" s="7" t="s">
        <v>412</v>
      </c>
      <c r="F141" s="7" t="n">
        <v>1469</v>
      </c>
      <c r="G141" s="7" t="n">
        <v>1</v>
      </c>
      <c r="H141" s="8" t="n">
        <v>2.73600578308106</v>
      </c>
      <c r="I141" s="8" t="n">
        <v>0.5</v>
      </c>
      <c r="J141" s="7" t="s">
        <v>90</v>
      </c>
      <c r="K141" s="9" t="s">
        <v>242</v>
      </c>
      <c r="L141" s="9" t="s">
        <v>413</v>
      </c>
    </row>
    <row r="142" customFormat="false" ht="404.45" hidden="false" customHeight="false" outlineLevel="0" collapsed="false">
      <c r="A142" s="7" t="s">
        <v>240</v>
      </c>
      <c r="B142" s="7" t="s">
        <v>624</v>
      </c>
      <c r="C142" s="7" t="s">
        <v>418</v>
      </c>
      <c r="D142" s="7" t="s">
        <v>449</v>
      </c>
      <c r="E142" s="7" t="s">
        <v>444</v>
      </c>
      <c r="F142" s="7" t="n">
        <v>3201</v>
      </c>
      <c r="G142" s="7" t="n">
        <v>1</v>
      </c>
      <c r="H142" s="8" t="n">
        <v>0.689316987991333</v>
      </c>
      <c r="I142" s="8" t="n">
        <v>0.5</v>
      </c>
      <c r="J142" s="7" t="s">
        <v>90</v>
      </c>
      <c r="K142" s="9" t="s">
        <v>242</v>
      </c>
      <c r="L142" s="9" t="s">
        <v>451</v>
      </c>
    </row>
    <row r="143" customFormat="false" ht="348.5" hidden="false" customHeight="false" outlineLevel="0" collapsed="false">
      <c r="A143" s="7" t="s">
        <v>240</v>
      </c>
      <c r="B143" s="7" t="s">
        <v>625</v>
      </c>
      <c r="C143" s="7" t="s">
        <v>69</v>
      </c>
      <c r="D143" s="7" t="s">
        <v>626</v>
      </c>
      <c r="E143" s="7" t="s">
        <v>627</v>
      </c>
      <c r="F143" s="7" t="n">
        <v>2428</v>
      </c>
      <c r="G143" s="7" t="n">
        <v>1</v>
      </c>
      <c r="H143" s="8" t="n">
        <v>0.8431077003479</v>
      </c>
      <c r="I143" s="8" t="n">
        <v>0.5</v>
      </c>
      <c r="J143" s="7" t="s">
        <v>90</v>
      </c>
      <c r="K143" s="9" t="s">
        <v>242</v>
      </c>
      <c r="L143" s="9" t="s">
        <v>628</v>
      </c>
    </row>
    <row r="144" customFormat="false" ht="225.35" hidden="false" customHeight="false" outlineLevel="0" collapsed="false">
      <c r="A144" s="7" t="s">
        <v>245</v>
      </c>
      <c r="B144" s="7" t="s">
        <v>320</v>
      </c>
      <c r="C144" s="7" t="s">
        <v>75</v>
      </c>
      <c r="D144" s="7" t="s">
        <v>629</v>
      </c>
      <c r="E144" s="7" t="s">
        <v>380</v>
      </c>
      <c r="F144" s="7" t="n">
        <v>1510</v>
      </c>
      <c r="G144" s="7" t="n">
        <v>1</v>
      </c>
      <c r="H144" s="8" t="n">
        <v>-4.60022830963135</v>
      </c>
      <c r="I144" s="8" t="n">
        <v>0.5</v>
      </c>
      <c r="J144" s="7" t="s">
        <v>43</v>
      </c>
      <c r="K144" s="9" t="s">
        <v>249</v>
      </c>
      <c r="L144" s="9" t="s">
        <v>630</v>
      </c>
    </row>
    <row r="145" customFormat="false" ht="438.05" hidden="false" customHeight="false" outlineLevel="0" collapsed="false">
      <c r="A145" s="7" t="s">
        <v>245</v>
      </c>
      <c r="B145" s="7" t="s">
        <v>324</v>
      </c>
      <c r="C145" s="7" t="s">
        <v>57</v>
      </c>
      <c r="D145" s="7" t="s">
        <v>631</v>
      </c>
      <c r="E145" s="7" t="s">
        <v>632</v>
      </c>
      <c r="F145" s="7" t="n">
        <v>5479</v>
      </c>
      <c r="G145" s="7" t="n">
        <v>1</v>
      </c>
      <c r="H145" s="8" t="n">
        <v>-7.15603351593018</v>
      </c>
      <c r="I145" s="8" t="n">
        <v>0.5</v>
      </c>
      <c r="J145" s="7" t="s">
        <v>43</v>
      </c>
      <c r="K145" s="9" t="s">
        <v>249</v>
      </c>
      <c r="L145" s="9" t="s">
        <v>633</v>
      </c>
    </row>
    <row r="146" customFormat="false" ht="348.5" hidden="false" customHeight="false" outlineLevel="0" collapsed="false">
      <c r="A146" s="7" t="s">
        <v>245</v>
      </c>
      <c r="B146" s="7" t="s">
        <v>328</v>
      </c>
      <c r="C146" s="7" t="s">
        <v>75</v>
      </c>
      <c r="D146" s="7" t="s">
        <v>634</v>
      </c>
      <c r="E146" s="7" t="s">
        <v>632</v>
      </c>
      <c r="F146" s="7" t="n">
        <v>4627</v>
      </c>
      <c r="G146" s="7" t="n">
        <v>1</v>
      </c>
      <c r="H146" s="8" t="n">
        <v>-8.84052848815918</v>
      </c>
      <c r="I146" s="8" t="n">
        <v>0.5</v>
      </c>
      <c r="J146" s="7" t="s">
        <v>43</v>
      </c>
      <c r="K146" s="9" t="s">
        <v>249</v>
      </c>
      <c r="L146" s="9" t="s">
        <v>635</v>
      </c>
    </row>
    <row r="147" customFormat="false" ht="270.1" hidden="false" customHeight="false" outlineLevel="0" collapsed="false">
      <c r="A147" s="7" t="s">
        <v>245</v>
      </c>
      <c r="B147" s="7" t="s">
        <v>332</v>
      </c>
      <c r="C147" s="7" t="s">
        <v>57</v>
      </c>
      <c r="D147" s="7" t="s">
        <v>537</v>
      </c>
      <c r="E147" s="7" t="s">
        <v>538</v>
      </c>
      <c r="F147" s="7" t="n">
        <v>1801</v>
      </c>
      <c r="G147" s="7" t="n">
        <v>1</v>
      </c>
      <c r="H147" s="8" t="n">
        <v>-9.42958068847656</v>
      </c>
      <c r="I147" s="8" t="n">
        <v>0.5</v>
      </c>
      <c r="J147" s="7" t="s">
        <v>43</v>
      </c>
      <c r="K147" s="9" t="s">
        <v>249</v>
      </c>
      <c r="L147" s="9" t="s">
        <v>539</v>
      </c>
    </row>
    <row r="148" customFormat="false" ht="494" hidden="false" customHeight="false" outlineLevel="0" collapsed="false">
      <c r="A148" s="7" t="s">
        <v>252</v>
      </c>
      <c r="B148" s="7" t="s">
        <v>320</v>
      </c>
      <c r="C148" s="7" t="s">
        <v>171</v>
      </c>
      <c r="D148" s="7" t="s">
        <v>636</v>
      </c>
      <c r="E148" s="7" t="s">
        <v>637</v>
      </c>
      <c r="F148" s="7" t="n">
        <v>4829</v>
      </c>
      <c r="G148" s="7" t="n">
        <v>1</v>
      </c>
      <c r="H148" s="8" t="n">
        <v>-2.6064293384552</v>
      </c>
      <c r="I148" s="8" t="n">
        <v>0.5</v>
      </c>
      <c r="J148" s="7" t="s">
        <v>43</v>
      </c>
      <c r="K148" s="9" t="s">
        <v>255</v>
      </c>
      <c r="L148" s="9" t="s">
        <v>638</v>
      </c>
    </row>
    <row r="149" customFormat="false" ht="583.55" hidden="false" customHeight="false" outlineLevel="0" collapsed="false">
      <c r="A149" s="7" t="s">
        <v>252</v>
      </c>
      <c r="B149" s="7" t="s">
        <v>324</v>
      </c>
      <c r="C149" s="7" t="s">
        <v>177</v>
      </c>
      <c r="D149" s="7" t="s">
        <v>528</v>
      </c>
      <c r="E149" s="7" t="s">
        <v>529</v>
      </c>
      <c r="F149" s="7" t="n">
        <v>2813</v>
      </c>
      <c r="G149" s="7" t="n">
        <v>1</v>
      </c>
      <c r="H149" s="8" t="n">
        <v>-2.63452076911926</v>
      </c>
      <c r="I149" s="8" t="n">
        <v>0.5</v>
      </c>
      <c r="J149" s="7" t="s">
        <v>43</v>
      </c>
      <c r="K149" s="9" t="s">
        <v>255</v>
      </c>
      <c r="L149" s="9" t="s">
        <v>530</v>
      </c>
    </row>
    <row r="150" customFormat="false" ht="460.4" hidden="false" customHeight="false" outlineLevel="0" collapsed="false">
      <c r="A150" s="7" t="s">
        <v>252</v>
      </c>
      <c r="B150" s="7" t="s">
        <v>328</v>
      </c>
      <c r="C150" s="7" t="s">
        <v>171</v>
      </c>
      <c r="D150" s="7" t="s">
        <v>522</v>
      </c>
      <c r="E150" s="7" t="s">
        <v>639</v>
      </c>
      <c r="F150" s="7" t="n">
        <v>6241</v>
      </c>
      <c r="G150" s="7" t="n">
        <v>1</v>
      </c>
      <c r="H150" s="8" t="n">
        <v>-3.15708041191101</v>
      </c>
      <c r="I150" s="8" t="n">
        <v>0.5</v>
      </c>
      <c r="J150" s="7" t="s">
        <v>43</v>
      </c>
      <c r="K150" s="9" t="s">
        <v>255</v>
      </c>
      <c r="L150" s="9" t="s">
        <v>640</v>
      </c>
    </row>
    <row r="151" customFormat="false" ht="370.85" hidden="false" customHeight="false" outlineLevel="0" collapsed="false">
      <c r="A151" s="7" t="s">
        <v>252</v>
      </c>
      <c r="B151" s="7" t="s">
        <v>332</v>
      </c>
      <c r="C151" s="7" t="s">
        <v>177</v>
      </c>
      <c r="D151" s="7" t="s">
        <v>525</v>
      </c>
      <c r="E151" s="7" t="s">
        <v>517</v>
      </c>
      <c r="F151" s="7" t="n">
        <v>2131</v>
      </c>
      <c r="G151" s="7" t="n">
        <v>1</v>
      </c>
      <c r="H151" s="8" t="n">
        <v>-2.89256405830383</v>
      </c>
      <c r="I151" s="8" t="n">
        <v>0.5</v>
      </c>
      <c r="J151" s="7" t="s">
        <v>43</v>
      </c>
      <c r="K151" s="9" t="s">
        <v>255</v>
      </c>
      <c r="L151" s="9" t="s">
        <v>527</v>
      </c>
    </row>
    <row r="152" customFormat="false" ht="494" hidden="false" customHeight="false" outlineLevel="0" collapsed="false">
      <c r="A152" s="7" t="s">
        <v>258</v>
      </c>
      <c r="B152" s="7" t="s">
        <v>320</v>
      </c>
      <c r="C152" s="7" t="s">
        <v>187</v>
      </c>
      <c r="D152" s="7" t="s">
        <v>641</v>
      </c>
      <c r="E152" s="7" t="s">
        <v>642</v>
      </c>
      <c r="F152" s="7" t="n">
        <v>5080</v>
      </c>
      <c r="G152" s="7" t="n">
        <v>1</v>
      </c>
      <c r="H152" s="8" t="n">
        <v>-1.10288190841675</v>
      </c>
      <c r="I152" s="8" t="n">
        <v>0.5</v>
      </c>
      <c r="J152" s="7" t="s">
        <v>43</v>
      </c>
      <c r="K152" s="9" t="s">
        <v>262</v>
      </c>
      <c r="L152" s="9" t="s">
        <v>643</v>
      </c>
    </row>
    <row r="153" customFormat="false" ht="113.4" hidden="false" customHeight="false" outlineLevel="0" collapsed="false">
      <c r="A153" s="7" t="s">
        <v>258</v>
      </c>
      <c r="B153" s="7" t="s">
        <v>324</v>
      </c>
      <c r="C153" s="7" t="s">
        <v>222</v>
      </c>
      <c r="D153" s="7" t="s">
        <v>644</v>
      </c>
      <c r="E153" s="7" t="s">
        <v>645</v>
      </c>
      <c r="F153" s="7" t="n">
        <v>795</v>
      </c>
      <c r="G153" s="7" t="n">
        <v>2</v>
      </c>
      <c r="H153" s="8" t="n">
        <v>-3.33625221252441</v>
      </c>
      <c r="I153" s="8" t="n">
        <v>0.5</v>
      </c>
      <c r="J153" s="7" t="s">
        <v>43</v>
      </c>
      <c r="K153" s="9" t="s">
        <v>262</v>
      </c>
      <c r="L153" s="9" t="s">
        <v>646</v>
      </c>
    </row>
    <row r="154" customFormat="false" ht="270.1" hidden="false" customHeight="false" outlineLevel="0" collapsed="false">
      <c r="A154" s="7" t="s">
        <v>258</v>
      </c>
      <c r="B154" s="7" t="s">
        <v>328</v>
      </c>
      <c r="C154" s="7" t="s">
        <v>187</v>
      </c>
      <c r="D154" s="7" t="s">
        <v>540</v>
      </c>
      <c r="E154" s="7" t="s">
        <v>647</v>
      </c>
      <c r="F154" s="7" t="n">
        <v>1670</v>
      </c>
      <c r="G154" s="7" t="n">
        <v>1</v>
      </c>
      <c r="H154" s="8" t="n">
        <v>-2.15687417984009</v>
      </c>
      <c r="I154" s="8" t="n">
        <v>0.5</v>
      </c>
      <c r="J154" s="7" t="s">
        <v>43</v>
      </c>
      <c r="K154" s="9" t="s">
        <v>262</v>
      </c>
      <c r="L154" s="9" t="s">
        <v>542</v>
      </c>
    </row>
    <row r="155" customFormat="false" ht="158.2" hidden="false" customHeight="false" outlineLevel="0" collapsed="false">
      <c r="A155" s="7" t="s">
        <v>265</v>
      </c>
      <c r="B155" s="7" t="s">
        <v>320</v>
      </c>
      <c r="C155" s="7" t="s">
        <v>414</v>
      </c>
      <c r="D155" s="7" t="s">
        <v>415</v>
      </c>
      <c r="E155" s="7" t="s">
        <v>416</v>
      </c>
      <c r="F155" s="7" t="n">
        <v>1037</v>
      </c>
      <c r="G155" s="7" t="n">
        <v>1</v>
      </c>
      <c r="H155" s="8" t="n">
        <v>4.21614789962769</v>
      </c>
      <c r="I155" s="8" t="n">
        <v>1</v>
      </c>
      <c r="J155" s="7" t="s">
        <v>43</v>
      </c>
      <c r="K155" s="9" t="s">
        <v>266</v>
      </c>
      <c r="L155" s="9" t="s">
        <v>417</v>
      </c>
    </row>
    <row r="156" customFormat="false" ht="717.9" hidden="false" customHeight="false" outlineLevel="0" collapsed="false">
      <c r="A156" s="7" t="s">
        <v>265</v>
      </c>
      <c r="B156" s="7" t="s">
        <v>324</v>
      </c>
      <c r="C156" s="7" t="s">
        <v>418</v>
      </c>
      <c r="D156" s="7" t="s">
        <v>419</v>
      </c>
      <c r="E156" s="7" t="s">
        <v>420</v>
      </c>
      <c r="F156" s="7" t="n">
        <v>3570</v>
      </c>
      <c r="G156" s="7" t="n">
        <v>1</v>
      </c>
      <c r="H156" s="8" t="n">
        <v>4.52118015289307</v>
      </c>
      <c r="I156" s="8" t="n">
        <v>1</v>
      </c>
      <c r="J156" s="7" t="s">
        <v>43</v>
      </c>
      <c r="K156" s="9" t="s">
        <v>266</v>
      </c>
      <c r="L156" s="9" t="s">
        <v>421</v>
      </c>
    </row>
    <row r="157" customFormat="false" ht="650.7" hidden="false" customHeight="false" outlineLevel="0" collapsed="false">
      <c r="A157" s="7" t="s">
        <v>265</v>
      </c>
      <c r="B157" s="7" t="s">
        <v>328</v>
      </c>
      <c r="C157" s="7" t="s">
        <v>414</v>
      </c>
      <c r="D157" s="7" t="s">
        <v>422</v>
      </c>
      <c r="E157" s="7" t="s">
        <v>420</v>
      </c>
      <c r="F157" s="7" t="n">
        <v>2621</v>
      </c>
      <c r="G157" s="7" t="n">
        <v>1</v>
      </c>
      <c r="H157" s="8" t="n">
        <v>4.11089420318604</v>
      </c>
      <c r="I157" s="8" t="n">
        <v>1</v>
      </c>
      <c r="J157" s="7" t="s">
        <v>43</v>
      </c>
      <c r="K157" s="9" t="s">
        <v>266</v>
      </c>
      <c r="L157" s="9" t="s">
        <v>423</v>
      </c>
    </row>
    <row r="158" customFormat="false" ht="124.6" hidden="false" customHeight="false" outlineLevel="0" collapsed="false">
      <c r="A158" s="7" t="s">
        <v>265</v>
      </c>
      <c r="B158" s="7" t="s">
        <v>332</v>
      </c>
      <c r="C158" s="7" t="s">
        <v>418</v>
      </c>
      <c r="D158" s="7" t="s">
        <v>648</v>
      </c>
      <c r="E158" s="7" t="s">
        <v>649</v>
      </c>
      <c r="F158" s="7" t="n">
        <v>942</v>
      </c>
      <c r="G158" s="7" t="n">
        <v>1</v>
      </c>
      <c r="H158" s="8" t="n">
        <v>1.41899859905243</v>
      </c>
      <c r="I158" s="8" t="n">
        <v>1</v>
      </c>
      <c r="J158" s="7" t="s">
        <v>43</v>
      </c>
      <c r="K158" s="9" t="s">
        <v>266</v>
      </c>
      <c r="L158" s="9" t="s">
        <v>650</v>
      </c>
    </row>
    <row r="159" customFormat="false" ht="147" hidden="false" customHeight="false" outlineLevel="0" collapsed="false">
      <c r="A159" s="7" t="s">
        <v>265</v>
      </c>
      <c r="B159" s="7" t="s">
        <v>348</v>
      </c>
      <c r="C159" s="7" t="s">
        <v>414</v>
      </c>
      <c r="D159" s="7" t="s">
        <v>651</v>
      </c>
      <c r="E159" s="7" t="s">
        <v>649</v>
      </c>
      <c r="F159" s="7" t="n">
        <v>1139</v>
      </c>
      <c r="G159" s="7" t="n">
        <v>1</v>
      </c>
      <c r="H159" s="8" t="n">
        <v>1.53811395168304</v>
      </c>
      <c r="I159" s="8" t="n">
        <v>1</v>
      </c>
      <c r="J159" s="7" t="s">
        <v>43</v>
      </c>
      <c r="K159" s="9" t="s">
        <v>266</v>
      </c>
      <c r="L159" s="9" t="s">
        <v>652</v>
      </c>
    </row>
    <row r="160" customFormat="false" ht="46.25" hidden="false" customHeight="false" outlineLevel="0" collapsed="false">
      <c r="A160" s="7" t="s">
        <v>269</v>
      </c>
      <c r="B160" s="7" t="s">
        <v>320</v>
      </c>
      <c r="C160" s="7" t="s">
        <v>57</v>
      </c>
      <c r="D160" s="7" t="s">
        <v>653</v>
      </c>
      <c r="E160" s="7" t="s">
        <v>654</v>
      </c>
      <c r="F160" s="7" t="n">
        <v>235</v>
      </c>
      <c r="G160" s="7" t="n">
        <v>1</v>
      </c>
      <c r="H160" s="8" t="n">
        <v>6.16909694671631</v>
      </c>
      <c r="I160" s="8" t="n">
        <v>1</v>
      </c>
      <c r="J160" s="7" t="s">
        <v>43</v>
      </c>
      <c r="K160" s="9" t="s">
        <v>270</v>
      </c>
      <c r="L160" s="9" t="s">
        <v>655</v>
      </c>
    </row>
    <row r="161" customFormat="false" ht="438.05" hidden="false" customHeight="false" outlineLevel="0" collapsed="false">
      <c r="A161" s="7" t="s">
        <v>269</v>
      </c>
      <c r="B161" s="7" t="s">
        <v>324</v>
      </c>
      <c r="C161" s="7" t="s">
        <v>57</v>
      </c>
      <c r="D161" s="7" t="s">
        <v>534</v>
      </c>
      <c r="E161" s="7" t="s">
        <v>654</v>
      </c>
      <c r="F161" s="7" t="n">
        <v>4707</v>
      </c>
      <c r="G161" s="7" t="n">
        <v>1</v>
      </c>
      <c r="H161" s="8" t="n">
        <v>6.10673713684082</v>
      </c>
      <c r="I161" s="8" t="n">
        <v>1</v>
      </c>
      <c r="J161" s="7" t="s">
        <v>43</v>
      </c>
      <c r="K161" s="9" t="s">
        <v>270</v>
      </c>
      <c r="L161" s="9" t="s">
        <v>536</v>
      </c>
    </row>
    <row r="162" customFormat="false" ht="225.35" hidden="false" customHeight="false" outlineLevel="0" collapsed="false">
      <c r="A162" s="7" t="s">
        <v>269</v>
      </c>
      <c r="B162" s="7" t="s">
        <v>328</v>
      </c>
      <c r="C162" s="7" t="s">
        <v>75</v>
      </c>
      <c r="D162" s="7" t="s">
        <v>629</v>
      </c>
      <c r="E162" s="7" t="s">
        <v>380</v>
      </c>
      <c r="F162" s="7" t="n">
        <v>1510</v>
      </c>
      <c r="G162" s="7" t="n">
        <v>1</v>
      </c>
      <c r="H162" s="8" t="n">
        <v>5.3377799987793</v>
      </c>
      <c r="I162" s="8" t="n">
        <v>1</v>
      </c>
      <c r="J162" s="7" t="s">
        <v>43</v>
      </c>
      <c r="K162" s="9" t="s">
        <v>270</v>
      </c>
      <c r="L162" s="9" t="s">
        <v>630</v>
      </c>
    </row>
    <row r="163" customFormat="false" ht="583.55" hidden="false" customHeight="false" outlineLevel="0" collapsed="false">
      <c r="A163" s="7" t="s">
        <v>269</v>
      </c>
      <c r="B163" s="7" t="s">
        <v>332</v>
      </c>
      <c r="C163" s="7" t="s">
        <v>57</v>
      </c>
      <c r="D163" s="7" t="s">
        <v>482</v>
      </c>
      <c r="E163" s="7" t="s">
        <v>656</v>
      </c>
      <c r="F163" s="7" t="n">
        <v>4579</v>
      </c>
      <c r="G163" s="7" t="n">
        <v>1</v>
      </c>
      <c r="H163" s="8" t="n">
        <v>4.72405290603638</v>
      </c>
      <c r="I163" s="8" t="n">
        <v>1</v>
      </c>
      <c r="J163" s="7" t="s">
        <v>43</v>
      </c>
      <c r="K163" s="9" t="s">
        <v>270</v>
      </c>
      <c r="L163" s="9" t="s">
        <v>657</v>
      </c>
    </row>
    <row r="164" customFormat="false" ht="270.1" hidden="false" customHeight="false" outlineLevel="0" collapsed="false">
      <c r="A164" s="7" t="s">
        <v>269</v>
      </c>
      <c r="B164" s="7" t="s">
        <v>348</v>
      </c>
      <c r="C164" s="7" t="s">
        <v>57</v>
      </c>
      <c r="D164" s="7" t="s">
        <v>537</v>
      </c>
      <c r="E164" s="7" t="s">
        <v>658</v>
      </c>
      <c r="F164" s="7" t="n">
        <v>1801</v>
      </c>
      <c r="G164" s="7" t="n">
        <v>1</v>
      </c>
      <c r="H164" s="8" t="n">
        <v>2.92954921722412</v>
      </c>
      <c r="I164" s="8" t="n">
        <v>1</v>
      </c>
      <c r="J164" s="7" t="s">
        <v>43</v>
      </c>
      <c r="K164" s="9" t="s">
        <v>270</v>
      </c>
      <c r="L164" s="9" t="s">
        <v>539</v>
      </c>
    </row>
    <row r="165" customFormat="false" ht="482.8" hidden="false" customHeight="false" outlineLevel="0" collapsed="false">
      <c r="A165" s="7" t="s">
        <v>273</v>
      </c>
      <c r="B165" s="7" t="s">
        <v>320</v>
      </c>
      <c r="C165" s="7" t="s">
        <v>396</v>
      </c>
      <c r="D165" s="7" t="s">
        <v>659</v>
      </c>
      <c r="E165" s="7" t="s">
        <v>660</v>
      </c>
      <c r="F165" s="7" t="n">
        <v>4924</v>
      </c>
      <c r="G165" s="7" t="n">
        <v>1</v>
      </c>
      <c r="H165" s="8" t="n">
        <v>5.76340007781982</v>
      </c>
      <c r="I165" s="8" t="n">
        <v>1</v>
      </c>
      <c r="J165" s="7" t="s">
        <v>90</v>
      </c>
      <c r="K165" s="9" t="s">
        <v>276</v>
      </c>
      <c r="L165" s="9" t="s">
        <v>661</v>
      </c>
    </row>
    <row r="166" customFormat="false" ht="482.8" hidden="false" customHeight="false" outlineLevel="0" collapsed="false">
      <c r="A166" s="7" t="s">
        <v>273</v>
      </c>
      <c r="B166" s="7" t="s">
        <v>324</v>
      </c>
      <c r="C166" s="7" t="s">
        <v>51</v>
      </c>
      <c r="D166" s="7" t="s">
        <v>507</v>
      </c>
      <c r="E166" s="7" t="s">
        <v>662</v>
      </c>
      <c r="F166" s="7" t="n">
        <v>4601</v>
      </c>
      <c r="G166" s="7" t="n">
        <v>1</v>
      </c>
      <c r="H166" s="8" t="n">
        <v>5.73337173461914</v>
      </c>
      <c r="I166" s="8" t="n">
        <v>1</v>
      </c>
      <c r="J166" s="7" t="s">
        <v>90</v>
      </c>
      <c r="K166" s="9" t="s">
        <v>276</v>
      </c>
      <c r="L166" s="9" t="s">
        <v>509</v>
      </c>
    </row>
    <row r="167" customFormat="false" ht="270.1" hidden="false" customHeight="false" outlineLevel="0" collapsed="false">
      <c r="A167" s="7" t="s">
        <v>273</v>
      </c>
      <c r="B167" s="7" t="s">
        <v>328</v>
      </c>
      <c r="C167" s="7" t="s">
        <v>187</v>
      </c>
      <c r="D167" s="7" t="s">
        <v>540</v>
      </c>
      <c r="E167" s="7" t="s">
        <v>647</v>
      </c>
      <c r="F167" s="7" t="n">
        <v>1670</v>
      </c>
      <c r="G167" s="7" t="n">
        <v>1</v>
      </c>
      <c r="H167" s="8" t="n">
        <v>4.8798975944519</v>
      </c>
      <c r="I167" s="8" t="n">
        <v>1</v>
      </c>
      <c r="J167" s="7" t="s">
        <v>90</v>
      </c>
      <c r="K167" s="9" t="s">
        <v>276</v>
      </c>
      <c r="L167" s="9" t="s">
        <v>542</v>
      </c>
    </row>
    <row r="168" customFormat="false" ht="426.85" hidden="false" customHeight="false" outlineLevel="0" collapsed="false">
      <c r="A168" s="7" t="s">
        <v>273</v>
      </c>
      <c r="B168" s="7" t="s">
        <v>332</v>
      </c>
      <c r="C168" s="7" t="s">
        <v>187</v>
      </c>
      <c r="D168" s="7" t="s">
        <v>543</v>
      </c>
      <c r="E168" s="7" t="s">
        <v>544</v>
      </c>
      <c r="F168" s="7" t="n">
        <v>4902</v>
      </c>
      <c r="G168" s="7" t="n">
        <v>1</v>
      </c>
      <c r="H168" s="8" t="n">
        <v>4.81183338165283</v>
      </c>
      <c r="I168" s="8" t="n">
        <v>1</v>
      </c>
      <c r="J168" s="7" t="s">
        <v>90</v>
      </c>
      <c r="K168" s="9" t="s">
        <v>276</v>
      </c>
      <c r="L168" s="9" t="s">
        <v>663</v>
      </c>
    </row>
    <row r="169" customFormat="false" ht="460.4" hidden="false" customHeight="false" outlineLevel="0" collapsed="false">
      <c r="A169" s="7" t="s">
        <v>273</v>
      </c>
      <c r="B169" s="7" t="s">
        <v>348</v>
      </c>
      <c r="C169" s="7" t="s">
        <v>396</v>
      </c>
      <c r="D169" s="7" t="s">
        <v>664</v>
      </c>
      <c r="E169" s="7" t="s">
        <v>660</v>
      </c>
      <c r="F169" s="7" t="n">
        <v>4962</v>
      </c>
      <c r="G169" s="7" t="n">
        <v>1</v>
      </c>
      <c r="H169" s="8" t="n">
        <v>4.78354072570801</v>
      </c>
      <c r="I169" s="8" t="n">
        <v>1</v>
      </c>
      <c r="J169" s="7" t="s">
        <v>90</v>
      </c>
      <c r="K169" s="9" t="s">
        <v>276</v>
      </c>
      <c r="L169" s="9" t="s">
        <v>665</v>
      </c>
    </row>
    <row r="170" customFormat="false" ht="270.1" hidden="false" customHeight="false" outlineLevel="0" collapsed="false">
      <c r="A170" s="7" t="s">
        <v>279</v>
      </c>
      <c r="B170" s="7" t="s">
        <v>320</v>
      </c>
      <c r="C170" s="7" t="s">
        <v>69</v>
      </c>
      <c r="D170" s="7" t="s">
        <v>666</v>
      </c>
      <c r="E170" s="7" t="s">
        <v>667</v>
      </c>
      <c r="F170" s="7" t="n">
        <v>1495</v>
      </c>
      <c r="G170" s="7" t="n">
        <v>1</v>
      </c>
      <c r="H170" s="8" t="n">
        <v>3.19806098937988</v>
      </c>
      <c r="I170" s="8" t="n">
        <v>1</v>
      </c>
      <c r="J170" s="7" t="s">
        <v>90</v>
      </c>
      <c r="K170" s="9" t="s">
        <v>281</v>
      </c>
      <c r="L170" s="9" t="s">
        <v>668</v>
      </c>
    </row>
    <row r="171" customFormat="false" ht="393.25" hidden="false" customHeight="false" outlineLevel="0" collapsed="false">
      <c r="A171" s="7" t="s">
        <v>279</v>
      </c>
      <c r="B171" s="7" t="s">
        <v>324</v>
      </c>
      <c r="C171" s="7" t="s">
        <v>414</v>
      </c>
      <c r="D171" s="7" t="s">
        <v>669</v>
      </c>
      <c r="E171" s="7" t="s">
        <v>670</v>
      </c>
      <c r="F171" s="7" t="n">
        <v>2973</v>
      </c>
      <c r="G171" s="7" t="n">
        <v>1</v>
      </c>
      <c r="H171" s="8" t="n">
        <v>2.19477796554565</v>
      </c>
      <c r="I171" s="8" t="n">
        <v>1</v>
      </c>
      <c r="J171" s="7" t="s">
        <v>90</v>
      </c>
      <c r="K171" s="9" t="s">
        <v>281</v>
      </c>
      <c r="L171" s="9" t="s">
        <v>671</v>
      </c>
    </row>
    <row r="172" customFormat="false" ht="426.85" hidden="false" customHeight="false" outlineLevel="0" collapsed="false">
      <c r="A172" s="7" t="s">
        <v>279</v>
      </c>
      <c r="B172" s="7" t="s">
        <v>328</v>
      </c>
      <c r="C172" s="7" t="s">
        <v>418</v>
      </c>
      <c r="D172" s="7" t="s">
        <v>672</v>
      </c>
      <c r="E172" s="7" t="s">
        <v>670</v>
      </c>
      <c r="F172" s="7" t="n">
        <v>3190</v>
      </c>
      <c r="G172" s="7" t="n">
        <v>1</v>
      </c>
      <c r="H172" s="8" t="n">
        <v>1.52266550064087</v>
      </c>
      <c r="I172" s="8" t="n">
        <v>1</v>
      </c>
      <c r="J172" s="7" t="s">
        <v>90</v>
      </c>
      <c r="K172" s="9" t="s">
        <v>281</v>
      </c>
      <c r="L172" s="9" t="s">
        <v>673</v>
      </c>
    </row>
    <row r="173" customFormat="false" ht="415.65" hidden="false" customHeight="false" outlineLevel="0" collapsed="false">
      <c r="A173" s="7" t="s">
        <v>279</v>
      </c>
      <c r="B173" s="7" t="s">
        <v>332</v>
      </c>
      <c r="C173" s="7" t="s">
        <v>69</v>
      </c>
      <c r="D173" s="7" t="s">
        <v>674</v>
      </c>
      <c r="E173" s="7" t="s">
        <v>675</v>
      </c>
      <c r="F173" s="7" t="n">
        <v>2634</v>
      </c>
      <c r="G173" s="7" t="n">
        <v>1</v>
      </c>
      <c r="H173" s="8" t="n">
        <v>1.22051620483398</v>
      </c>
      <c r="I173" s="8" t="n">
        <v>1</v>
      </c>
      <c r="J173" s="7" t="s">
        <v>90</v>
      </c>
      <c r="K173" s="9" t="s">
        <v>281</v>
      </c>
      <c r="L173" s="9" t="s">
        <v>676</v>
      </c>
    </row>
    <row r="174" customFormat="false" ht="102.2" hidden="false" customHeight="false" outlineLevel="0" collapsed="false">
      <c r="A174" s="7" t="s">
        <v>279</v>
      </c>
      <c r="B174" s="7" t="s">
        <v>348</v>
      </c>
      <c r="C174" s="7" t="s">
        <v>69</v>
      </c>
      <c r="D174" s="7" t="s">
        <v>677</v>
      </c>
      <c r="E174" s="7" t="s">
        <v>678</v>
      </c>
      <c r="F174" s="7" t="n">
        <v>629</v>
      </c>
      <c r="G174" s="7" t="n">
        <v>1</v>
      </c>
      <c r="H174" s="8" t="n">
        <v>0.92532753944397</v>
      </c>
      <c r="I174" s="8" t="n">
        <v>1</v>
      </c>
      <c r="J174" s="7" t="s">
        <v>90</v>
      </c>
      <c r="K174" s="9" t="s">
        <v>281</v>
      </c>
      <c r="L174" s="9" t="s">
        <v>679</v>
      </c>
    </row>
    <row r="175" customFormat="false" ht="214.15" hidden="false" customHeight="false" outlineLevel="0" collapsed="false">
      <c r="A175" s="7" t="s">
        <v>284</v>
      </c>
      <c r="B175" s="7" t="s">
        <v>320</v>
      </c>
      <c r="C175" s="7" t="s">
        <v>75</v>
      </c>
      <c r="D175" s="7" t="s">
        <v>370</v>
      </c>
      <c r="E175" s="7" t="s">
        <v>680</v>
      </c>
      <c r="F175" s="7" t="n">
        <v>1685</v>
      </c>
      <c r="G175" s="7" t="n">
        <v>2</v>
      </c>
      <c r="H175" s="8" t="n">
        <v>8.4334602355957</v>
      </c>
      <c r="I175" s="8" t="n">
        <v>1</v>
      </c>
      <c r="J175" s="7" t="s">
        <v>90</v>
      </c>
      <c r="K175" s="9" t="s">
        <v>286</v>
      </c>
      <c r="L175" s="9" t="s">
        <v>372</v>
      </c>
    </row>
    <row r="176" customFormat="false" ht="214.15" hidden="false" customHeight="false" outlineLevel="0" collapsed="false">
      <c r="A176" s="7" t="s">
        <v>284</v>
      </c>
      <c r="B176" s="7" t="s">
        <v>324</v>
      </c>
      <c r="C176" s="7" t="s">
        <v>75</v>
      </c>
      <c r="D176" s="7" t="s">
        <v>379</v>
      </c>
      <c r="E176" s="7" t="s">
        <v>380</v>
      </c>
      <c r="F176" s="7" t="n">
        <v>1824</v>
      </c>
      <c r="G176" s="7" t="n">
        <v>1</v>
      </c>
      <c r="H176" s="8" t="n">
        <v>7.85992527008057</v>
      </c>
      <c r="I176" s="8" t="n">
        <v>1</v>
      </c>
      <c r="J176" s="7" t="s">
        <v>90</v>
      </c>
      <c r="K176" s="9" t="s">
        <v>286</v>
      </c>
      <c r="L176" s="9" t="s">
        <v>381</v>
      </c>
    </row>
    <row r="177" customFormat="false" ht="113.4" hidden="false" customHeight="false" outlineLevel="0" collapsed="false">
      <c r="A177" s="7" t="s">
        <v>284</v>
      </c>
      <c r="B177" s="7" t="s">
        <v>328</v>
      </c>
      <c r="C177" s="7" t="s">
        <v>75</v>
      </c>
      <c r="D177" s="7" t="s">
        <v>376</v>
      </c>
      <c r="E177" s="7" t="s">
        <v>377</v>
      </c>
      <c r="F177" s="7" t="n">
        <v>733</v>
      </c>
      <c r="G177" s="7" t="n">
        <v>1</v>
      </c>
      <c r="H177" s="8" t="n">
        <v>6.36011123657227</v>
      </c>
      <c r="I177" s="8" t="n">
        <v>1</v>
      </c>
      <c r="J177" s="7" t="s">
        <v>90</v>
      </c>
      <c r="K177" s="9" t="s">
        <v>286</v>
      </c>
      <c r="L177" s="9" t="s">
        <v>378</v>
      </c>
    </row>
    <row r="178" customFormat="false" ht="292.5" hidden="false" customHeight="false" outlineLevel="0" collapsed="false">
      <c r="A178" s="7" t="s">
        <v>284</v>
      </c>
      <c r="B178" s="7" t="s">
        <v>332</v>
      </c>
      <c r="C178" s="7" t="s">
        <v>396</v>
      </c>
      <c r="D178" s="7" t="s">
        <v>681</v>
      </c>
      <c r="E178" s="7" t="s">
        <v>682</v>
      </c>
      <c r="F178" s="7" t="n">
        <v>1909</v>
      </c>
      <c r="G178" s="7" t="n">
        <v>1</v>
      </c>
      <c r="H178" s="8" t="n">
        <v>6.21561431884766</v>
      </c>
      <c r="I178" s="8" t="n">
        <v>1</v>
      </c>
      <c r="J178" s="7" t="s">
        <v>90</v>
      </c>
      <c r="K178" s="9" t="s">
        <v>286</v>
      </c>
      <c r="L178" s="9" t="s">
        <v>683</v>
      </c>
    </row>
    <row r="179" customFormat="false" ht="404.45" hidden="false" customHeight="false" outlineLevel="0" collapsed="false">
      <c r="A179" s="7" t="s">
        <v>289</v>
      </c>
      <c r="B179" s="7" t="s">
        <v>320</v>
      </c>
      <c r="C179" s="7" t="s">
        <v>414</v>
      </c>
      <c r="D179" s="7" t="s">
        <v>443</v>
      </c>
      <c r="E179" s="7" t="s">
        <v>444</v>
      </c>
      <c r="F179" s="7" t="n">
        <v>3585</v>
      </c>
      <c r="G179" s="7" t="n">
        <v>1</v>
      </c>
      <c r="H179" s="8" t="n">
        <v>2.57716298103333</v>
      </c>
      <c r="I179" s="8" t="n">
        <v>1</v>
      </c>
      <c r="J179" s="7" t="s">
        <v>43</v>
      </c>
      <c r="K179" s="9" t="s">
        <v>291</v>
      </c>
      <c r="L179" s="9" t="s">
        <v>445</v>
      </c>
    </row>
    <row r="180" customFormat="false" ht="393.25" hidden="false" customHeight="false" outlineLevel="0" collapsed="false">
      <c r="A180" s="7" t="s">
        <v>289</v>
      </c>
      <c r="B180" s="7" t="s">
        <v>324</v>
      </c>
      <c r="C180" s="7" t="s">
        <v>126</v>
      </c>
      <c r="D180" s="7" t="s">
        <v>424</v>
      </c>
      <c r="E180" s="7" t="s">
        <v>425</v>
      </c>
      <c r="F180" s="7" t="n">
        <v>4581</v>
      </c>
      <c r="G180" s="7" t="n">
        <v>2</v>
      </c>
      <c r="H180" s="8" t="n">
        <v>2.87204098701477</v>
      </c>
      <c r="I180" s="8" t="n">
        <v>1</v>
      </c>
      <c r="J180" s="7" t="s">
        <v>43</v>
      </c>
      <c r="K180" s="9" t="s">
        <v>291</v>
      </c>
      <c r="L180" s="9" t="s">
        <v>426</v>
      </c>
    </row>
    <row r="181" customFormat="false" ht="404.45" hidden="false" customHeight="false" outlineLevel="0" collapsed="false">
      <c r="A181" s="7" t="s">
        <v>289</v>
      </c>
      <c r="B181" s="7" t="s">
        <v>328</v>
      </c>
      <c r="C181" s="7" t="s">
        <v>418</v>
      </c>
      <c r="D181" s="7" t="s">
        <v>449</v>
      </c>
      <c r="E181" s="7" t="s">
        <v>444</v>
      </c>
      <c r="F181" s="7" t="n">
        <v>3201</v>
      </c>
      <c r="G181" s="7" t="n">
        <v>1</v>
      </c>
      <c r="H181" s="8" t="n">
        <v>2.33816385269165</v>
      </c>
      <c r="I181" s="8" t="n">
        <v>1</v>
      </c>
      <c r="J181" s="7" t="s">
        <v>43</v>
      </c>
      <c r="K181" s="9" t="s">
        <v>291</v>
      </c>
      <c r="L181" s="9" t="s">
        <v>451</v>
      </c>
    </row>
    <row r="182" customFormat="false" ht="337.3" hidden="false" customHeight="false" outlineLevel="0" collapsed="false">
      <c r="A182" s="7" t="s">
        <v>289</v>
      </c>
      <c r="B182" s="7" t="s">
        <v>332</v>
      </c>
      <c r="C182" s="7" t="s">
        <v>126</v>
      </c>
      <c r="D182" s="7" t="s">
        <v>565</v>
      </c>
      <c r="E182" s="7" t="s">
        <v>566</v>
      </c>
      <c r="F182" s="7" t="n">
        <v>2569</v>
      </c>
      <c r="G182" s="7" t="n">
        <v>1</v>
      </c>
      <c r="H182" s="8" t="n">
        <v>1.60568380355835</v>
      </c>
      <c r="I182" s="8" t="n">
        <v>1</v>
      </c>
      <c r="J182" s="7" t="s">
        <v>43</v>
      </c>
      <c r="K182" s="9" t="s">
        <v>291</v>
      </c>
      <c r="L182" s="9" t="s">
        <v>567</v>
      </c>
    </row>
    <row r="183" customFormat="false" ht="314.9" hidden="false" customHeight="false" outlineLevel="0" collapsed="false">
      <c r="A183" s="7" t="s">
        <v>289</v>
      </c>
      <c r="B183" s="7" t="s">
        <v>348</v>
      </c>
      <c r="C183" s="7" t="s">
        <v>63</v>
      </c>
      <c r="D183" s="7" t="s">
        <v>469</v>
      </c>
      <c r="E183" s="7" t="s">
        <v>470</v>
      </c>
      <c r="F183" s="7" t="n">
        <v>2379</v>
      </c>
      <c r="G183" s="7" t="n">
        <v>2</v>
      </c>
      <c r="H183" s="8" t="n">
        <v>1.03701436519623</v>
      </c>
      <c r="I183" s="8" t="n">
        <v>1</v>
      </c>
      <c r="J183" s="7" t="s">
        <v>43</v>
      </c>
      <c r="K183" s="9" t="s">
        <v>291</v>
      </c>
      <c r="L183" s="9" t="s">
        <v>471</v>
      </c>
    </row>
    <row r="184" customFormat="false" ht="124.6" hidden="false" customHeight="false" outlineLevel="0" collapsed="false">
      <c r="A184" s="7" t="s">
        <v>289</v>
      </c>
      <c r="B184" s="7" t="s">
        <v>410</v>
      </c>
      <c r="C184" s="7" t="s">
        <v>396</v>
      </c>
      <c r="D184" s="7" t="s">
        <v>462</v>
      </c>
      <c r="E184" s="7" t="s">
        <v>456</v>
      </c>
      <c r="F184" s="7" t="n">
        <v>1076</v>
      </c>
      <c r="G184" s="7" t="n">
        <v>1</v>
      </c>
      <c r="H184" s="8" t="n">
        <v>0.343613028526306</v>
      </c>
      <c r="I184" s="8" t="n">
        <v>1</v>
      </c>
      <c r="J184" s="7" t="s">
        <v>43</v>
      </c>
      <c r="K184" s="9" t="s">
        <v>291</v>
      </c>
      <c r="L184" s="9" t="s">
        <v>463</v>
      </c>
    </row>
    <row r="185" customFormat="false" ht="326.1" hidden="false" customHeight="false" outlineLevel="0" collapsed="false">
      <c r="A185" s="7" t="s">
        <v>289</v>
      </c>
      <c r="B185" s="7" t="s">
        <v>461</v>
      </c>
      <c r="C185" s="7" t="s">
        <v>126</v>
      </c>
      <c r="D185" s="7" t="s">
        <v>446</v>
      </c>
      <c r="E185" s="7" t="s">
        <v>447</v>
      </c>
      <c r="F185" s="7" t="n">
        <v>2485</v>
      </c>
      <c r="G185" s="7" t="n">
        <v>2</v>
      </c>
      <c r="H185" s="8" t="n">
        <v>3.26345205307007</v>
      </c>
      <c r="I185" s="8" t="n">
        <v>1</v>
      </c>
      <c r="J185" s="7" t="s">
        <v>43</v>
      </c>
      <c r="K185" s="9" t="s">
        <v>291</v>
      </c>
      <c r="L185" s="9" t="s">
        <v>448</v>
      </c>
    </row>
    <row r="186" customFormat="false" ht="404.45" hidden="false" customHeight="false" outlineLevel="0" collapsed="false">
      <c r="A186" s="7" t="s">
        <v>294</v>
      </c>
      <c r="B186" s="7" t="s">
        <v>320</v>
      </c>
      <c r="C186" s="7" t="s">
        <v>414</v>
      </c>
      <c r="D186" s="7" t="s">
        <v>443</v>
      </c>
      <c r="E186" s="7" t="s">
        <v>444</v>
      </c>
      <c r="F186" s="7" t="n">
        <v>3585</v>
      </c>
      <c r="G186" s="7" t="n">
        <v>1</v>
      </c>
      <c r="H186" s="8" t="n">
        <v>-5.5955605506897</v>
      </c>
      <c r="I186" s="8" t="n">
        <v>0</v>
      </c>
      <c r="J186" s="7" t="s">
        <v>43</v>
      </c>
      <c r="K186" s="9" t="s">
        <v>296</v>
      </c>
      <c r="L186" s="9" t="s">
        <v>445</v>
      </c>
    </row>
    <row r="187" customFormat="false" ht="326.1" hidden="false" customHeight="false" outlineLevel="0" collapsed="false">
      <c r="A187" s="7" t="s">
        <v>294</v>
      </c>
      <c r="B187" s="7" t="s">
        <v>324</v>
      </c>
      <c r="C187" s="7" t="s">
        <v>126</v>
      </c>
      <c r="D187" s="7" t="s">
        <v>446</v>
      </c>
      <c r="E187" s="7" t="s">
        <v>468</v>
      </c>
      <c r="F187" s="7" t="n">
        <v>2485</v>
      </c>
      <c r="G187" s="7" t="n">
        <v>1</v>
      </c>
      <c r="H187" s="8" t="n">
        <v>0.189744085073471</v>
      </c>
      <c r="I187" s="8" t="n">
        <v>0</v>
      </c>
      <c r="J187" s="7" t="s">
        <v>43</v>
      </c>
      <c r="K187" s="9" t="s">
        <v>296</v>
      </c>
      <c r="L187" s="9" t="s">
        <v>448</v>
      </c>
    </row>
    <row r="188" customFormat="false" ht="404.45" hidden="false" customHeight="false" outlineLevel="0" collapsed="false">
      <c r="A188" s="7" t="s">
        <v>294</v>
      </c>
      <c r="B188" s="7" t="s">
        <v>328</v>
      </c>
      <c r="C188" s="7" t="s">
        <v>418</v>
      </c>
      <c r="D188" s="7" t="s">
        <v>449</v>
      </c>
      <c r="E188" s="7" t="s">
        <v>444</v>
      </c>
      <c r="F188" s="7" t="n">
        <v>3201</v>
      </c>
      <c r="G188" s="7" t="n">
        <v>1</v>
      </c>
      <c r="H188" s="8" t="n">
        <v>-5.59702968597412</v>
      </c>
      <c r="I188" s="8" t="n">
        <v>0</v>
      </c>
      <c r="J188" s="7" t="s">
        <v>43</v>
      </c>
      <c r="K188" s="9" t="s">
        <v>296</v>
      </c>
      <c r="L188" s="9" t="s">
        <v>451</v>
      </c>
    </row>
    <row r="189" customFormat="false" ht="124.6" hidden="false" customHeight="false" outlineLevel="0" collapsed="false">
      <c r="A189" s="7" t="s">
        <v>299</v>
      </c>
      <c r="B189" s="7" t="s">
        <v>320</v>
      </c>
      <c r="C189" s="7" t="s">
        <v>57</v>
      </c>
      <c r="D189" s="7" t="s">
        <v>485</v>
      </c>
      <c r="E189" s="7" t="s">
        <v>486</v>
      </c>
      <c r="F189" s="7" t="n">
        <v>246</v>
      </c>
      <c r="G189" s="7" t="n">
        <v>1</v>
      </c>
      <c r="H189" s="8" t="n">
        <v>-0.847447514533997</v>
      </c>
      <c r="I189" s="8" t="n">
        <v>0.333333333333333</v>
      </c>
      <c r="J189" s="7" t="s">
        <v>43</v>
      </c>
      <c r="K189" s="9" t="s">
        <v>300</v>
      </c>
      <c r="L189" s="9" t="s">
        <v>487</v>
      </c>
    </row>
    <row r="190" customFormat="false" ht="527.6" hidden="false" customHeight="false" outlineLevel="0" collapsed="false">
      <c r="A190" s="7" t="s">
        <v>299</v>
      </c>
      <c r="B190" s="7" t="s">
        <v>324</v>
      </c>
      <c r="C190" s="7" t="s">
        <v>57</v>
      </c>
      <c r="D190" s="7" t="s">
        <v>482</v>
      </c>
      <c r="E190" s="7" t="s">
        <v>684</v>
      </c>
      <c r="F190" s="7" t="n">
        <v>6490</v>
      </c>
      <c r="G190" s="7" t="n">
        <v>1</v>
      </c>
      <c r="H190" s="8" t="n">
        <v>-3.21016144752502</v>
      </c>
      <c r="I190" s="8" t="n">
        <v>0.333333333333333</v>
      </c>
      <c r="J190" s="7" t="s">
        <v>43</v>
      </c>
      <c r="K190" s="9" t="s">
        <v>300</v>
      </c>
      <c r="L190" s="9" t="s">
        <v>685</v>
      </c>
    </row>
    <row r="191" customFormat="false" ht="102.2" hidden="false" customHeight="false" outlineLevel="0" collapsed="false">
      <c r="A191" s="7" t="s">
        <v>303</v>
      </c>
      <c r="B191" s="7" t="s">
        <v>320</v>
      </c>
      <c r="C191" s="7" t="s">
        <v>126</v>
      </c>
      <c r="D191" s="7" t="s">
        <v>686</v>
      </c>
      <c r="E191" s="7" t="s">
        <v>687</v>
      </c>
      <c r="F191" s="7" t="n">
        <v>299</v>
      </c>
      <c r="G191" s="7" t="n">
        <v>1</v>
      </c>
      <c r="H191" s="8" t="n">
        <v>3.72326469421387</v>
      </c>
      <c r="I191" s="8" t="n">
        <v>1</v>
      </c>
      <c r="J191" s="7" t="s">
        <v>43</v>
      </c>
      <c r="K191" s="9" t="s">
        <v>304</v>
      </c>
      <c r="L191" s="9" t="s">
        <v>688</v>
      </c>
    </row>
    <row r="192" customFormat="false" ht="382.05" hidden="false" customHeight="false" outlineLevel="0" collapsed="false">
      <c r="A192" s="7" t="s">
        <v>303</v>
      </c>
      <c r="B192" s="7" t="s">
        <v>324</v>
      </c>
      <c r="C192" s="7" t="s">
        <v>126</v>
      </c>
      <c r="D192" s="7" t="s">
        <v>458</v>
      </c>
      <c r="E192" s="7" t="s">
        <v>459</v>
      </c>
      <c r="F192" s="7" t="n">
        <v>5316</v>
      </c>
      <c r="G192" s="7" t="n">
        <v>1</v>
      </c>
      <c r="H192" s="8" t="n">
        <v>3.84488224983215</v>
      </c>
      <c r="I192" s="8" t="n">
        <v>1</v>
      </c>
      <c r="J192" s="7" t="s">
        <v>43</v>
      </c>
      <c r="K192" s="9" t="s">
        <v>304</v>
      </c>
      <c r="L192" s="9" t="s">
        <v>460</v>
      </c>
    </row>
    <row r="193" customFormat="false" ht="370.85" hidden="false" customHeight="false" outlineLevel="0" collapsed="false">
      <c r="A193" s="7" t="s">
        <v>303</v>
      </c>
      <c r="B193" s="7" t="s">
        <v>328</v>
      </c>
      <c r="C193" s="7" t="s">
        <v>126</v>
      </c>
      <c r="D193" s="7" t="s">
        <v>689</v>
      </c>
      <c r="E193" s="7" t="s">
        <v>690</v>
      </c>
      <c r="F193" s="7" t="n">
        <v>6687</v>
      </c>
      <c r="G193" s="7" t="n">
        <v>1</v>
      </c>
      <c r="H193" s="8" t="n">
        <v>3.86264181137085</v>
      </c>
      <c r="I193" s="8" t="n">
        <v>1</v>
      </c>
      <c r="J193" s="7" t="s">
        <v>43</v>
      </c>
      <c r="K193" s="9" t="s">
        <v>304</v>
      </c>
      <c r="L193" s="9" t="s">
        <v>691</v>
      </c>
    </row>
    <row r="194" customFormat="false" ht="270.1" hidden="false" customHeight="false" outlineLevel="0" collapsed="false">
      <c r="A194" s="7" t="s">
        <v>307</v>
      </c>
      <c r="B194" s="7" t="s">
        <v>320</v>
      </c>
      <c r="C194" s="7" t="s">
        <v>69</v>
      </c>
      <c r="D194" s="7" t="s">
        <v>358</v>
      </c>
      <c r="E194" s="7" t="s">
        <v>488</v>
      </c>
      <c r="F194" s="7" t="n">
        <v>2045</v>
      </c>
      <c r="G194" s="7" t="n">
        <v>1</v>
      </c>
      <c r="H194" s="8" t="n">
        <v>1.62539255619049</v>
      </c>
      <c r="I194" s="8" t="n">
        <v>0</v>
      </c>
      <c r="J194" s="7" t="s">
        <v>43</v>
      </c>
      <c r="K194" s="9" t="s">
        <v>308</v>
      </c>
      <c r="L194" s="9" t="s">
        <v>360</v>
      </c>
    </row>
    <row r="195" customFormat="false" ht="225.35" hidden="false" customHeight="false" outlineLevel="0" collapsed="false">
      <c r="A195" s="7" t="s">
        <v>307</v>
      </c>
      <c r="B195" s="7" t="s">
        <v>324</v>
      </c>
      <c r="C195" s="7" t="s">
        <v>69</v>
      </c>
      <c r="D195" s="7" t="s">
        <v>492</v>
      </c>
      <c r="E195" s="7" t="s">
        <v>692</v>
      </c>
      <c r="F195" s="7" t="n">
        <v>1361</v>
      </c>
      <c r="G195" s="7" t="n">
        <v>2</v>
      </c>
      <c r="H195" s="8" t="n">
        <v>1.67056703567505</v>
      </c>
      <c r="I195" s="8" t="n">
        <v>0</v>
      </c>
      <c r="J195" s="7" t="s">
        <v>43</v>
      </c>
      <c r="K195" s="9" t="s">
        <v>308</v>
      </c>
      <c r="L195" s="9" t="s">
        <v>494</v>
      </c>
    </row>
  </sheetData>
  <autoFilter ref="A3:L1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 min="1" style="0" width="8"/>
    <col collapsed="false" customWidth="true" hidden="false" outlineLevel="0" max="4" min="4" style="0" width="50"/>
    <col collapsed="false" customWidth="true" hidden="false" outlineLevel="0" max="5" min="5" style="0" width="60"/>
    <col collapsed="false" customWidth="true" hidden="false" outlineLevel="0" max="6" min="6" style="0" width="80"/>
  </cols>
  <sheetData>
    <row r="1" customFormat="false" ht="15" hidden="false" customHeight="false" outlineLevel="0" collapsed="false">
      <c r="A1" s="1" t="s">
        <v>693</v>
      </c>
    </row>
    <row r="3" customFormat="false" ht="15" hidden="false" customHeight="false" outlineLevel="0" collapsed="false">
      <c r="A3" s="6" t="s">
        <v>22</v>
      </c>
      <c r="B3" s="6" t="s">
        <v>28</v>
      </c>
      <c r="C3" s="6" t="s">
        <v>29</v>
      </c>
      <c r="D3" s="6" t="s">
        <v>32</v>
      </c>
      <c r="E3" s="6" t="s">
        <v>36</v>
      </c>
      <c r="F3" s="6" t="s">
        <v>38</v>
      </c>
    </row>
    <row r="4" customFormat="false" ht="68.65" hidden="false" customHeight="false" outlineLevel="0" collapsed="false">
      <c r="A4" s="7" t="s">
        <v>89</v>
      </c>
      <c r="B4" s="8" t="n">
        <v>0.5</v>
      </c>
      <c r="C4" s="8" t="n">
        <v>0.75</v>
      </c>
      <c r="D4" s="9" t="s">
        <v>91</v>
      </c>
      <c r="E4" s="9" t="s">
        <v>92</v>
      </c>
      <c r="F4" s="9" t="s">
        <v>94</v>
      </c>
    </row>
    <row r="5" customFormat="false" ht="68.65" hidden="false" customHeight="false" outlineLevel="0" collapsed="false">
      <c r="A5" s="7" t="s">
        <v>95</v>
      </c>
      <c r="B5" s="8" t="n">
        <v>0</v>
      </c>
      <c r="C5" s="8" t="n">
        <v>0.25</v>
      </c>
      <c r="D5" s="9" t="s">
        <v>91</v>
      </c>
      <c r="E5" s="9" t="s">
        <v>99</v>
      </c>
      <c r="F5" s="9" t="s">
        <v>101</v>
      </c>
    </row>
    <row r="6" customFormat="false" ht="68.65" hidden="false" customHeight="false" outlineLevel="0" collapsed="false">
      <c r="A6" s="7" t="s">
        <v>137</v>
      </c>
      <c r="B6" s="8" t="n">
        <v>0.666666666666667</v>
      </c>
      <c r="C6" s="8" t="n">
        <v>1</v>
      </c>
      <c r="D6" s="9" t="s">
        <v>139</v>
      </c>
      <c r="E6" s="9" t="s">
        <v>142</v>
      </c>
      <c r="F6" s="9" t="s">
        <v>144</v>
      </c>
    </row>
    <row r="7" customFormat="false" ht="68.65" hidden="false" customHeight="false" outlineLevel="0" collapsed="false">
      <c r="A7" s="7" t="s">
        <v>151</v>
      </c>
      <c r="B7" s="8" t="n">
        <v>1</v>
      </c>
      <c r="C7" s="8" t="n">
        <v>1</v>
      </c>
      <c r="D7" s="9" t="s">
        <v>152</v>
      </c>
      <c r="E7" s="9" t="s">
        <v>153</v>
      </c>
      <c r="F7" s="9" t="s">
        <v>155</v>
      </c>
    </row>
    <row r="8" customFormat="false" ht="102.2" hidden="false" customHeight="false" outlineLevel="0" collapsed="false">
      <c r="A8" s="7" t="s">
        <v>230</v>
      </c>
      <c r="B8" s="8" t="n">
        <v>1</v>
      </c>
      <c r="C8" s="8" t="n">
        <v>0.875</v>
      </c>
      <c r="D8" s="9" t="s">
        <v>91</v>
      </c>
      <c r="E8" s="9" t="s">
        <v>233</v>
      </c>
      <c r="F8" s="9" t="s">
        <v>235</v>
      </c>
    </row>
    <row r="9" customFormat="false" ht="91" hidden="false" customHeight="false" outlineLevel="0" collapsed="false">
      <c r="A9" s="7" t="s">
        <v>236</v>
      </c>
      <c r="B9" s="8" t="n">
        <v>0.5</v>
      </c>
      <c r="C9" s="8" t="n">
        <v>0.75</v>
      </c>
      <c r="D9" s="9" t="s">
        <v>91</v>
      </c>
      <c r="E9" s="9" t="s">
        <v>237</v>
      </c>
      <c r="F9" s="9" t="s">
        <v>239</v>
      </c>
    </row>
    <row r="10" customFormat="false" ht="91" hidden="false" customHeight="false" outlineLevel="0" collapsed="false">
      <c r="A10" s="7" t="s">
        <v>240</v>
      </c>
      <c r="B10" s="8" t="n">
        <v>0.5</v>
      </c>
      <c r="C10" s="8" t="n">
        <v>0.5</v>
      </c>
      <c r="D10" s="9" t="s">
        <v>91</v>
      </c>
      <c r="E10" s="9" t="s">
        <v>242</v>
      </c>
      <c r="F10" s="9" t="s">
        <v>244</v>
      </c>
    </row>
    <row r="11" customFormat="false" ht="57.45" hidden="false" customHeight="false" outlineLevel="0" collapsed="false">
      <c r="A11" s="7" t="s">
        <v>273</v>
      </c>
      <c r="B11" s="8" t="n">
        <v>1</v>
      </c>
      <c r="C11" s="8" t="n">
        <v>1</v>
      </c>
      <c r="D11" s="9" t="s">
        <v>139</v>
      </c>
      <c r="E11" s="9" t="s">
        <v>276</v>
      </c>
      <c r="F11" s="9" t="s">
        <v>278</v>
      </c>
    </row>
    <row r="12" customFormat="false" ht="57.45" hidden="false" customHeight="false" outlineLevel="0" collapsed="false">
      <c r="A12" s="7" t="s">
        <v>279</v>
      </c>
      <c r="B12" s="8" t="n">
        <v>1</v>
      </c>
      <c r="C12" s="8" t="n">
        <v>1</v>
      </c>
      <c r="D12" s="9" t="s">
        <v>139</v>
      </c>
      <c r="E12" s="9" t="s">
        <v>281</v>
      </c>
      <c r="F12" s="9" t="s">
        <v>283</v>
      </c>
    </row>
    <row r="13" customFormat="false" ht="57.45" hidden="false" customHeight="false" outlineLevel="0" collapsed="false">
      <c r="A13" s="7" t="s">
        <v>284</v>
      </c>
      <c r="B13" s="8" t="n">
        <v>1</v>
      </c>
      <c r="C13" s="8" t="n">
        <v>1</v>
      </c>
      <c r="D13" s="9" t="s">
        <v>152</v>
      </c>
      <c r="E13" s="9" t="s">
        <v>286</v>
      </c>
      <c r="F13" s="9" t="s">
        <v>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4" min="1" style="0" width="8"/>
    <col collapsed="false" customWidth="true" hidden="false" outlineLevel="0" max="5" min="5" style="0" width="24"/>
    <col collapsed="false" customWidth="true" hidden="false" outlineLevel="0" max="6" min="6" style="0" width="30"/>
    <col collapsed="false" customWidth="true" hidden="false" outlineLevel="0" max="7" min="7" style="0" width="26"/>
    <col collapsed="false" customWidth="true" hidden="false" outlineLevel="0" max="8" min="8" style="0" width="14"/>
    <col collapsed="false" customWidth="true" hidden="false" outlineLevel="0" max="9" min="9" style="0" width="60"/>
    <col collapsed="false" customWidth="true" hidden="false" outlineLevel="0" max="10" min="10" style="0" width="80"/>
  </cols>
  <sheetData>
    <row r="1" customFormat="false" ht="15" hidden="false" customHeight="false" outlineLevel="0" collapsed="false">
      <c r="A1" s="1" t="s">
        <v>694</v>
      </c>
    </row>
    <row r="3" customFormat="false" ht="15" hidden="false" customHeight="false" outlineLevel="0" collapsed="false">
      <c r="A3" s="6" t="s">
        <v>22</v>
      </c>
      <c r="B3" s="6" t="s">
        <v>28</v>
      </c>
      <c r="C3" s="6" t="s">
        <v>29</v>
      </c>
      <c r="D3" s="6" t="s">
        <v>30</v>
      </c>
      <c r="E3" s="6" t="s">
        <v>33</v>
      </c>
      <c r="F3" s="6" t="s">
        <v>34</v>
      </c>
      <c r="G3" s="6" t="s">
        <v>695</v>
      </c>
      <c r="H3" s="6" t="s">
        <v>31</v>
      </c>
      <c r="I3" s="6" t="s">
        <v>36</v>
      </c>
      <c r="J3" s="6" t="s">
        <v>38</v>
      </c>
    </row>
    <row r="4" customFormat="false" ht="91" hidden="false" customHeight="false" outlineLevel="0" collapsed="false">
      <c r="A4" s="7" t="s">
        <v>39</v>
      </c>
      <c r="B4" s="8" t="n">
        <v>0</v>
      </c>
      <c r="C4" s="8" t="n">
        <v>1</v>
      </c>
      <c r="D4" s="7" t="s">
        <v>42</v>
      </c>
      <c r="E4" s="9" t="s">
        <v>45</v>
      </c>
      <c r="F4" s="9" t="s">
        <v>45</v>
      </c>
      <c r="G4" s="9" t="s">
        <v>696</v>
      </c>
      <c r="H4" s="7" t="s">
        <v>43</v>
      </c>
      <c r="I4" s="9" t="s">
        <v>46</v>
      </c>
      <c r="J4" s="9" t="s">
        <v>48</v>
      </c>
    </row>
    <row r="5" customFormat="false" ht="46.25" hidden="false" customHeight="false" outlineLevel="0" collapsed="false">
      <c r="A5" s="7" t="s">
        <v>49</v>
      </c>
      <c r="B5" s="8" t="n">
        <v>0</v>
      </c>
      <c r="C5" s="8" t="n">
        <v>1</v>
      </c>
      <c r="D5" s="7" t="s">
        <v>42</v>
      </c>
      <c r="E5" s="9" t="s">
        <v>51</v>
      </c>
      <c r="F5" s="9" t="s">
        <v>51</v>
      </c>
      <c r="G5" s="9" t="s">
        <v>697</v>
      </c>
      <c r="H5" s="7" t="s">
        <v>43</v>
      </c>
      <c r="I5" s="9" t="s">
        <v>52</v>
      </c>
      <c r="J5" s="9" t="s">
        <v>54</v>
      </c>
    </row>
    <row r="6" customFormat="false" ht="68.65" hidden="false" customHeight="false" outlineLevel="0" collapsed="false">
      <c r="A6" s="7" t="s">
        <v>95</v>
      </c>
      <c r="B6" s="8" t="n">
        <v>0</v>
      </c>
      <c r="C6" s="8" t="n">
        <v>0.25</v>
      </c>
      <c r="D6" s="7" t="s">
        <v>96</v>
      </c>
      <c r="E6" s="9" t="s">
        <v>97</v>
      </c>
      <c r="F6" s="9" t="s">
        <v>98</v>
      </c>
      <c r="G6" s="9"/>
      <c r="H6" s="7" t="s">
        <v>90</v>
      </c>
      <c r="I6" s="9" t="s">
        <v>99</v>
      </c>
      <c r="J6" s="9" t="s">
        <v>101</v>
      </c>
    </row>
    <row r="7" customFormat="false" ht="68.65" hidden="false" customHeight="false" outlineLevel="0" collapsed="false">
      <c r="A7" s="7" t="s">
        <v>294</v>
      </c>
      <c r="B7" s="8" t="n">
        <v>0</v>
      </c>
      <c r="C7" s="8" t="n">
        <v>1</v>
      </c>
      <c r="D7" s="7" t="s">
        <v>42</v>
      </c>
      <c r="E7" s="9" t="s">
        <v>126</v>
      </c>
      <c r="F7" s="9" t="s">
        <v>295</v>
      </c>
      <c r="G7" s="9" t="s">
        <v>698</v>
      </c>
      <c r="H7" s="7" t="s">
        <v>43</v>
      </c>
      <c r="I7" s="9" t="s">
        <v>296</v>
      </c>
      <c r="J7" s="9" t="s">
        <v>298</v>
      </c>
    </row>
    <row r="8" customFormat="false" ht="79.85" hidden="false" customHeight="false" outlineLevel="0" collapsed="false">
      <c r="A8" s="7" t="s">
        <v>307</v>
      </c>
      <c r="B8" s="8" t="n">
        <v>0</v>
      </c>
      <c r="C8" s="8" t="n">
        <v>0.333333333333333</v>
      </c>
      <c r="D8" s="7" t="s">
        <v>42</v>
      </c>
      <c r="E8" s="9" t="s">
        <v>69</v>
      </c>
      <c r="F8" s="9" t="s">
        <v>69</v>
      </c>
      <c r="G8" s="9" t="s">
        <v>699</v>
      </c>
      <c r="H8" s="7" t="s">
        <v>43</v>
      </c>
      <c r="I8" s="9" t="s">
        <v>308</v>
      </c>
      <c r="J8" s="9" t="s">
        <v>310</v>
      </c>
    </row>
    <row r="9" customFormat="false" ht="35.05" hidden="false" customHeight="false" outlineLevel="0" collapsed="false">
      <c r="A9" s="7" t="s">
        <v>299</v>
      </c>
      <c r="B9" s="8" t="n">
        <v>0.333333333333333</v>
      </c>
      <c r="C9" s="8" t="n">
        <v>0</v>
      </c>
      <c r="D9" s="7" t="s">
        <v>42</v>
      </c>
      <c r="E9" s="9" t="s">
        <v>57</v>
      </c>
      <c r="F9" s="9" t="s">
        <v>57</v>
      </c>
      <c r="G9" s="9" t="s">
        <v>700</v>
      </c>
      <c r="H9" s="7" t="s">
        <v>43</v>
      </c>
      <c r="I9" s="9" t="s">
        <v>300</v>
      </c>
      <c r="J9" s="9" t="s">
        <v>302</v>
      </c>
    </row>
    <row r="10" customFormat="false" ht="68.65" hidden="false" customHeight="false" outlineLevel="0" collapsed="false">
      <c r="A10" s="7" t="s">
        <v>89</v>
      </c>
      <c r="B10" s="8" t="n">
        <v>0.5</v>
      </c>
      <c r="C10" s="8" t="n">
        <v>0.75</v>
      </c>
      <c r="D10" s="7" t="s">
        <v>42</v>
      </c>
      <c r="E10" s="9" t="s">
        <v>84</v>
      </c>
      <c r="F10" s="9" t="s">
        <v>85</v>
      </c>
      <c r="G10" s="9"/>
      <c r="H10" s="7" t="s">
        <v>90</v>
      </c>
      <c r="I10" s="9" t="s">
        <v>92</v>
      </c>
      <c r="J10" s="9" t="s">
        <v>94</v>
      </c>
    </row>
    <row r="11" customFormat="false" ht="68.65" hidden="false" customHeight="false" outlineLevel="0" collapsed="false">
      <c r="A11" s="7" t="s">
        <v>109</v>
      </c>
      <c r="B11" s="8" t="n">
        <v>0.5</v>
      </c>
      <c r="C11" s="8" t="n">
        <v>1</v>
      </c>
      <c r="D11" s="7" t="s">
        <v>42</v>
      </c>
      <c r="E11" s="9" t="s">
        <v>111</v>
      </c>
      <c r="F11" s="9" t="s">
        <v>111</v>
      </c>
      <c r="G11" s="9"/>
      <c r="H11" s="7" t="s">
        <v>43</v>
      </c>
      <c r="I11" s="9" t="s">
        <v>112</v>
      </c>
      <c r="J11" s="9" t="s">
        <v>114</v>
      </c>
    </row>
    <row r="12" customFormat="false" ht="68.65" hidden="false" customHeight="false" outlineLevel="0" collapsed="false">
      <c r="A12" s="7" t="s">
        <v>115</v>
      </c>
      <c r="B12" s="8" t="n">
        <v>0.5</v>
      </c>
      <c r="C12" s="8" t="n">
        <v>0.75</v>
      </c>
      <c r="D12" s="7" t="s">
        <v>42</v>
      </c>
      <c r="E12" s="9" t="s">
        <v>117</v>
      </c>
      <c r="F12" s="9" t="s">
        <v>118</v>
      </c>
      <c r="G12" s="9" t="s">
        <v>701</v>
      </c>
      <c r="H12" s="7" t="s">
        <v>43</v>
      </c>
      <c r="I12" s="9" t="s">
        <v>119</v>
      </c>
      <c r="J12" s="9" t="s">
        <v>121</v>
      </c>
    </row>
    <row r="13" customFormat="false" ht="46.25" hidden="false" customHeight="false" outlineLevel="0" collapsed="false">
      <c r="A13" s="7" t="s">
        <v>122</v>
      </c>
      <c r="B13" s="8" t="n">
        <v>0.5</v>
      </c>
      <c r="C13" s="8" t="n">
        <v>0.75</v>
      </c>
      <c r="D13" s="7" t="s">
        <v>42</v>
      </c>
      <c r="E13" s="9" t="s">
        <v>126</v>
      </c>
      <c r="F13" s="9" t="s">
        <v>127</v>
      </c>
      <c r="G13" s="9"/>
      <c r="H13" s="7" t="s">
        <v>43</v>
      </c>
      <c r="I13" s="9" t="s">
        <v>128</v>
      </c>
      <c r="J13" s="9" t="s">
        <v>130</v>
      </c>
    </row>
    <row r="14" customFormat="false" ht="57.45" hidden="false" customHeight="false" outlineLevel="0" collapsed="false">
      <c r="A14" s="7" t="s">
        <v>145</v>
      </c>
      <c r="B14" s="8" t="n">
        <v>0.5</v>
      </c>
      <c r="C14" s="8" t="n">
        <v>1</v>
      </c>
      <c r="D14" s="7" t="s">
        <v>42</v>
      </c>
      <c r="E14" s="9" t="s">
        <v>57</v>
      </c>
      <c r="F14" s="9" t="s">
        <v>147</v>
      </c>
      <c r="G14" s="9" t="s">
        <v>702</v>
      </c>
      <c r="H14" s="7" t="s">
        <v>43</v>
      </c>
      <c r="I14" s="9" t="s">
        <v>148</v>
      </c>
      <c r="J14" s="9" t="s">
        <v>150</v>
      </c>
    </row>
    <row r="15" customFormat="false" ht="113.4" hidden="false" customHeight="false" outlineLevel="0" collapsed="false">
      <c r="A15" s="7" t="s">
        <v>195</v>
      </c>
      <c r="B15" s="8" t="n">
        <v>0.5</v>
      </c>
      <c r="C15" s="8" t="n">
        <v>1</v>
      </c>
      <c r="D15" s="7" t="s">
        <v>42</v>
      </c>
      <c r="E15" s="9" t="s">
        <v>69</v>
      </c>
      <c r="F15" s="9" t="s">
        <v>69</v>
      </c>
      <c r="G15" s="9"/>
      <c r="H15" s="7" t="s">
        <v>43</v>
      </c>
      <c r="I15" s="9" t="s">
        <v>196</v>
      </c>
      <c r="J15" s="9" t="s">
        <v>198</v>
      </c>
    </row>
    <row r="16" customFormat="false" ht="91" hidden="false" customHeight="false" outlineLevel="0" collapsed="false">
      <c r="A16" s="7" t="s">
        <v>236</v>
      </c>
      <c r="B16" s="8" t="n">
        <v>0.5</v>
      </c>
      <c r="C16" s="8" t="n">
        <v>0.75</v>
      </c>
      <c r="D16" s="7" t="s">
        <v>42</v>
      </c>
      <c r="E16" s="9" t="s">
        <v>84</v>
      </c>
      <c r="F16" s="9" t="s">
        <v>85</v>
      </c>
      <c r="G16" s="9"/>
      <c r="H16" s="7" t="s">
        <v>90</v>
      </c>
      <c r="I16" s="9" t="s">
        <v>237</v>
      </c>
      <c r="J16" s="9" t="s">
        <v>239</v>
      </c>
    </row>
    <row r="17" customFormat="false" ht="91" hidden="false" customHeight="false" outlineLevel="0" collapsed="false">
      <c r="A17" s="7" t="s">
        <v>240</v>
      </c>
      <c r="B17" s="8" t="n">
        <v>0.5</v>
      </c>
      <c r="C17" s="8" t="n">
        <v>0.5</v>
      </c>
      <c r="D17" s="7" t="s">
        <v>96</v>
      </c>
      <c r="E17" s="9" t="s">
        <v>231</v>
      </c>
      <c r="F17" s="9" t="s">
        <v>241</v>
      </c>
      <c r="G17" s="9"/>
      <c r="H17" s="7" t="s">
        <v>90</v>
      </c>
      <c r="I17" s="9" t="s">
        <v>242</v>
      </c>
      <c r="J17" s="9" t="s">
        <v>244</v>
      </c>
    </row>
    <row r="18" customFormat="false" ht="68.65" hidden="false" customHeight="false" outlineLevel="0" collapsed="false">
      <c r="A18" s="7" t="s">
        <v>245</v>
      </c>
      <c r="B18" s="8" t="n">
        <v>0.5</v>
      </c>
      <c r="C18" s="8" t="n">
        <v>0</v>
      </c>
      <c r="D18" s="7" t="s">
        <v>42</v>
      </c>
      <c r="E18" s="9" t="s">
        <v>247</v>
      </c>
      <c r="F18" s="9" t="s">
        <v>248</v>
      </c>
      <c r="G18" s="9" t="s">
        <v>703</v>
      </c>
      <c r="H18" s="7" t="s">
        <v>43</v>
      </c>
      <c r="I18" s="9" t="s">
        <v>249</v>
      </c>
      <c r="J18" s="9" t="s">
        <v>251</v>
      </c>
    </row>
    <row r="19" customFormat="false" ht="57.45" hidden="false" customHeight="false" outlineLevel="0" collapsed="false">
      <c r="A19" s="7" t="s">
        <v>252</v>
      </c>
      <c r="B19" s="8" t="n">
        <v>0.5</v>
      </c>
      <c r="C19" s="8" t="n">
        <v>1</v>
      </c>
      <c r="D19" s="7" t="s">
        <v>42</v>
      </c>
      <c r="E19" s="9" t="s">
        <v>254</v>
      </c>
      <c r="F19" s="9" t="s">
        <v>254</v>
      </c>
      <c r="G19" s="9" t="s">
        <v>704</v>
      </c>
      <c r="H19" s="7" t="s">
        <v>43</v>
      </c>
      <c r="I19" s="9" t="s">
        <v>255</v>
      </c>
      <c r="J19" s="9" t="s">
        <v>257</v>
      </c>
    </row>
    <row r="20" customFormat="false" ht="68.65" hidden="false" customHeight="false" outlineLevel="0" collapsed="false">
      <c r="A20" s="7" t="s">
        <v>258</v>
      </c>
      <c r="B20" s="8" t="n">
        <v>0.5</v>
      </c>
      <c r="C20" s="8" t="n">
        <v>0.6</v>
      </c>
      <c r="D20" s="7" t="s">
        <v>42</v>
      </c>
      <c r="E20" s="9" t="s">
        <v>260</v>
      </c>
      <c r="F20" s="9" t="s">
        <v>261</v>
      </c>
      <c r="G20" s="9" t="s">
        <v>705</v>
      </c>
      <c r="H20" s="7" t="s">
        <v>43</v>
      </c>
      <c r="I20" s="9" t="s">
        <v>262</v>
      </c>
      <c r="J20" s="9" t="s">
        <v>264</v>
      </c>
    </row>
    <row r="21" customFormat="false" ht="68.65" hidden="false" customHeight="false" outlineLevel="0" collapsed="false">
      <c r="A21" s="7" t="s">
        <v>156</v>
      </c>
      <c r="B21" s="8" t="n">
        <v>0.6</v>
      </c>
      <c r="C21" s="8" t="n">
        <v>0.833333333333333</v>
      </c>
      <c r="D21" s="7" t="s">
        <v>42</v>
      </c>
      <c r="E21" s="9" t="s">
        <v>69</v>
      </c>
      <c r="F21" s="9" t="s">
        <v>69</v>
      </c>
      <c r="G21" s="9"/>
      <c r="H21" s="7" t="s">
        <v>43</v>
      </c>
      <c r="I21" s="9" t="s">
        <v>158</v>
      </c>
      <c r="J21" s="9" t="s">
        <v>160</v>
      </c>
    </row>
    <row r="22" customFormat="false" ht="68.65" hidden="false" customHeight="false" outlineLevel="0" collapsed="false">
      <c r="A22" s="7" t="s">
        <v>137</v>
      </c>
      <c r="B22" s="8" t="n">
        <v>0.666666666666667</v>
      </c>
      <c r="C22" s="8" t="n">
        <v>1</v>
      </c>
      <c r="D22" s="7" t="s">
        <v>96</v>
      </c>
      <c r="E22" s="9" t="s">
        <v>140</v>
      </c>
      <c r="F22" s="9" t="s">
        <v>141</v>
      </c>
      <c r="G22" s="9"/>
      <c r="H22" s="7" t="s">
        <v>90</v>
      </c>
      <c r="I22" s="9" t="s">
        <v>142</v>
      </c>
      <c r="J22" s="9"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2026-09-17T03:20:03Z</dcterms:created>
  <dc:creator>openpyxl</dc:creator>
  <dc:description/>
  <dc:language>en-US</dc:language>
  <cp:lastModifiedBy/>
  <dcterms:modified xsi:type="dcterms:W3CDTF">2026-09-17T03:20:03Z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