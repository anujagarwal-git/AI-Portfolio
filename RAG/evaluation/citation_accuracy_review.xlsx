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1-3a claims" sheetId="2" state="visible" r:id="rId4"/>
    <sheet name="3b grading" sheetId="3" state="visible" r:id="rId5"/>
    <sheet name="3b windows" sheetId="4" state="visible" r:id="rId6"/>
  </sheets>
  <definedNames>
    <definedName function="false" hidden="true" localSheetId="1" name="_xlnm._FilterDatabase" vbProcedure="false">'1-3a claims'!$A$1:$I$105</definedName>
    <definedName function="false" hidden="true" localSheetId="2" name="_xlnm._FilterDatabase" vbProcedure="false">'3b grading'!$A$1:$K$32</definedName>
    <definedName function="false" hidden="true" localSheetId="3" name="_xlnm._FilterDatabase" vbProcedure="false">'3b windows'!$A$1:$E$164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<sst xmlns="http://schemas.openxmlformats.org/spreadsheetml/2006/main" count="1876" uniqueCount="619">
  <si>
    <t xml:space="preserve">Citation accuracy — RAG Regulatory Assistant</t>
  </si>
  <si>
    <t xml:space="preserve">Generator: qwen3:1.7b|answer_v3_json@30c7a8e59878a638|t0.0|ctx16384|floor0.0|facet6.0|renderv2|align0.65/0.05</t>
  </si>
  <si>
    <t xml:space="preserve">Source run: golden_run_20260910T064424Z.json   |   3b worksheet: citation_3b_worksheet_20260910T070933Z.json</t>
  </si>
  <si>
    <t xml:space="preserve">LAYERS 1-3a  —  mechanical, no judge, computed from the saved run</t>
  </si>
  <si>
    <t xml:space="preserve">Layer</t>
  </si>
  <si>
    <t xml:space="preserve">What it checks</t>
  </si>
  <si>
    <t xml:space="preserve">Pass</t>
  </si>
  <si>
    <t xml:space="preserve">Of</t>
  </si>
  <si>
    <t xml:space="preserve">Rate</t>
  </si>
  <si>
    <t xml:space="preserve">1  cited</t>
  </si>
  <si>
    <t xml:space="preserve">the claim carries a source label at all</t>
  </si>
  <si>
    <t xml:space="preserve">2  valid</t>
  </si>
  <si>
    <t xml:space="preserve">that label exists in the table the answer was given</t>
  </si>
  <si>
    <t xml:space="preserve">3a in window</t>
  </si>
  <si>
    <t xml:space="preserve">the cited paragraph is one the model actually read</t>
  </si>
  <si>
    <t xml:space="preserve">Unmeasurable on 3a (window carried no paragraph markers)</t>
  </si>
  <si>
    <t xml:space="preserve">Rows with no citation evidence</t>
  </si>
  <si>
    <t xml:space="preserve">BY PLAN MODE</t>
  </si>
  <si>
    <t xml:space="preserve">Plan mode</t>
  </si>
  <si>
    <t xml:space="preserve">Claims</t>
  </si>
  <si>
    <t xml:space="preserve">Cited</t>
  </si>
  <si>
    <t xml:space="preserve">Valid</t>
  </si>
  <si>
    <t xml:space="preserve">In window</t>
  </si>
  <si>
    <t xml:space="preserve">Checkable</t>
  </si>
  <si>
    <t xml:space="preserve">In-window rate</t>
  </si>
  <si>
    <t xml:space="preserve">document_fanout</t>
  </si>
  <si>
    <t xml:space="preserve">fallback</t>
  </si>
  <si>
    <t xml:space="preserve">jurisdiction_fanout</t>
  </si>
  <si>
    <t xml:space="preserve">single_document</t>
  </si>
  <si>
    <t xml:space="preserve">version_fanout</t>
  </si>
  <si>
    <t xml:space="preserve">TOTAL</t>
  </si>
  <si>
    <t xml:space="preserve">LAYER 3b  —  hand-graded sample. NOT a rate.</t>
  </si>
  <si>
    <t xml:space="preserve">Questions</t>
  </si>
  <si>
    <t xml:space="preserve">Claims to grade</t>
  </si>
  <si>
    <t xml:space="preserve">Graded so far</t>
  </si>
  <si>
    <t xml:space="preserve">Aligner's own verdict (read the claim BEFORE this column)</t>
  </si>
  <si>
    <t xml:space="preserve">FLOOR</t>
  </si>
  <si>
    <t xml:space="preserve">found no paragraph above 0.65 — kept the retrieved child's locator, it did not choose</t>
  </si>
  <si>
    <t xml:space="preserve">MATCH</t>
  </si>
  <si>
    <t xml:space="preserve">chose a paragraph above the floor</t>
  </si>
  <si>
    <t xml:space="preserve">3b is deliberately absent from the 1-3a numbers: align.py chooses the paragraph, so it cannot grade its own choice.</t>
  </si>
  <si>
    <t xml:space="preserve">Report 3b as 'n of m claims correctly located, hand-graded'. Fifteen questions chosen for gradability are not a sample of the corpus.</t>
  </si>
  <si>
    <t xml:space="preserve">UNGRADABLE is not a failure — it means the claim spans paragraphs, and that question should leave the set.</t>
  </si>
  <si>
    <t xml:space="preserve">Question id</t>
  </si>
  <si>
    <t xml:space="preserve">Label</t>
  </si>
  <si>
    <t xml:space="preserve">Cited locator</t>
  </si>
  <si>
    <t xml:space="preserve">In window?</t>
  </si>
  <si>
    <t xml:space="preserve">Aligner verdict</t>
  </si>
  <si>
    <t xml:space="preserve">Overlap</t>
  </si>
  <si>
    <t xml:space="preserve">Claim text</t>
  </si>
  <si>
    <t xml:space="preserve">Window paragraph locators</t>
  </si>
  <si>
    <t xml:space="preserve">gs-01</t>
  </si>
  <si>
    <t xml:space="preserve">S1</t>
  </si>
  <si>
    <t xml:space="preserve">RBC30.4</t>
  </si>
  <si>
    <t xml:space="preserve">YES</t>
  </si>
  <si>
    <t xml:space="preserve">The minimum risk-based capital ratios a bank must meet under Basel RBC are shown in RBC30.4, which specifies the conservation ratios based on the CET1 capital ratio.</t>
  </si>
  <si>
    <t xml:space="preserve">RBC30.3, RBC30.4</t>
  </si>
  <si>
    <t xml:space="preserve">S3</t>
  </si>
  <si>
    <t xml:space="preserve">FAQ1</t>
  </si>
  <si>
    <t xml:space="preserve">The conservation ratios in RBC30.4 are calculated based on the current CET1 ratio of a bank, and they reflect the minimum capital conservation requirements that banks must meet.</t>
  </si>
  <si>
    <t xml:space="preserve">FAQ1, FAQ1</t>
  </si>
  <si>
    <t xml:space="preserve">gs-02</t>
  </si>
  <si>
    <t xml:space="preserve">LEX10.7</t>
  </si>
  <si>
    <t xml:space="preserve">The large exposure limit to a single counterparty under Basel LEX is the maximum amount a bank may expose to a single counterparty, which is subject to the large exposure limit in all respects.</t>
  </si>
  <si>
    <t xml:space="preserve">The large exposure limit to a single counterparty under Basel LEX is calculated as the gross jump-to-default amount defined in MAR22.9 to MAR22.14, without applying risk weighting, with the exception that all instruments must be assigned a loss-given-default of 100%.</t>
  </si>
  <si>
    <t xml:space="preserve">gs-03</t>
  </si>
  <si>
    <t xml:space="preserve">Principle 3</t>
  </si>
  <si>
    <t xml:space="preserve">BCBS 239 requires that risk data be accurate and reliable, and that it be aggregated on a largely automated basis to minimize errors.</t>
  </si>
  <si>
    <t xml:space="preserve">A bank should strive towards a single authoritative source for risk data per each type of risk.</t>
  </si>
  <si>
    <t xml:space="preserve">Risk data should be reconciled with bank's sources, including accounting data where appropriate, to ensure accuracy.</t>
  </si>
  <si>
    <t xml:space="preserve">Supervisors expect banks to document and explain all risk data aggregation processes, whether automated or manual.</t>
  </si>
  <si>
    <t xml:space="preserve">gs-04</t>
  </si>
  <si>
    <t xml:space="preserve">Model Inventory</t>
  </si>
  <si>
    <t xml:space="preserve">An effective model inventory includes sufficient information to understand model risks, so as to support effective model risk management at the individual and aggregate levels.</t>
  </si>
  <si>
    <t xml:space="preserve">A banking organization's model inventory may contain varying levels of information to reflect different levels of model complexity and a banking organization's overall level of model usage.</t>
  </si>
  <si>
    <t xml:space="preserve">gs-05</t>
  </si>
  <si>
    <t xml:space="preserve">S2</t>
  </si>
  <si>
    <t xml:space="preserve">Principle 1.1 Model definition</t>
  </si>
  <si>
    <t xml:space="preserve">Principle 1 requires firms to adopt a formal definition of a model as the basis for determining the scope of their MRM frameworks.</t>
  </si>
  <si>
    <t xml:space="preserve">Principle 1 requires firms to consider whether to apply the relevant aspects of the MRM framework to deterministic quantitative methods that have a material bearing on business decisions.</t>
  </si>
  <si>
    <t xml:space="preserve">gs-06</t>
  </si>
  <si>
    <t xml:space="preserve">2. Stress testing frameworks should include an effective governance structure</t>
  </si>
  <si>
    <t xml:space="preserve">A stress testing framework's governance structure should specify the roles and responsibilities of senior management, oversight bodies, and those responsible for the ongoing operation of the stress testing framework.</t>
  </si>
  <si>
    <t xml:space="preserve">The governance structure should identify all key stakeholders and ensure a full and consistent oversight and monitoring of the actions taken at the different stages of the stress testing process.</t>
  </si>
  <si>
    <t xml:space="preserve">gs-07</t>
  </si>
  <si>
    <t xml:space="preserve">3.5</t>
  </si>
  <si>
    <t xml:space="preserve">SS1/23 requires that active senior management and board involvement in firms' MRM governance processes are key to robust and effective MRM practices.</t>
  </si>
  <si>
    <t xml:space="preserve">VI. GOVERNANCE AND CONTROLS</t>
  </si>
  <si>
    <t xml:space="preserve">SR 26-2 emphasizes the importance of model governance that is supported by clear policies and effective controls, and outlines the need for clear roles and responsibilities throughout the model lifecycle.</t>
  </si>
  <si>
    <t xml:space="preserve">gs-08</t>
  </si>
  <si>
    <t xml:space="preserve">1.2</t>
  </si>
  <si>
    <t xml:space="preserve">UK supervisory expectations require firms to maintain a comprehensive model inventory to identify sources of model risk, provide management information for reporting model risk, and identify model inter-dependencies.</t>
  </si>
  <si>
    <t xml:space="preserve">1.2, 1.3</t>
  </si>
  <si>
    <t xml:space="preserve">Principle 1.2 Model inventory</t>
  </si>
  <si>
    <t xml:space="preserve">US supervisory expectations also require firms to maintain a comprehensive model inventory to identify sources of model risk, provide management information for reporting model risk, and identify model inter-dependencies.</t>
  </si>
  <si>
    <t xml:space="preserve">Principle 1.2 Model inventory, Principle 1.2 Model inventory</t>
  </si>
  <si>
    <t xml:space="preserve">gs-09</t>
  </si>
  <si>
    <t xml:space="preserve">(a)</t>
  </si>
  <si>
    <t xml:space="preserve">The UK and US frameworks structure independent model validation by requiring an independent unit of validation staff within the Federal Reserve, with input from an advisory council of academic experts not affiliated with the Federal Reserve.</t>
  </si>
  <si>
    <t xml:space="preserve">S6</t>
  </si>
  <si>
    <t xml:space="preserve">Principle 4.1 The independent validation function</t>
  </si>
  <si>
    <t xml:space="preserve">The US framework emphasizes independent validation as a core risk management practice, with the validation function operating independently from the model development process and model owners.</t>
  </si>
  <si>
    <t xml:space="preserve">gs-10</t>
  </si>
  <si>
    <t xml:space="preserve">I. Introduction</t>
  </si>
  <si>
    <t xml:space="preserve">SR 15-18 applies to U.S. bank holding companies that are subject to Category I standards, while SR 15-19 applies to firms subject to Category I standards that are not otherwise subject to the Federal Reserve's Large Institution Supervision Coordinating Committee (LISCC) framework or have total consolidated assets of $250 billion or more or consolidated total on-balance sheet foreign exposure of $10 billion or more.</t>
  </si>
  <si>
    <t xml:space="preserve">Applicability</t>
  </si>
  <si>
    <t xml:space="preserve">SR 15-19 applies to firms subject to Category I standards and provides detailed supervisory expectations on a firm's capital planning process, while SR 15-18 applies to U.S. bank holding companies and intermediate holding companies of foreign banking organizations that are either subject to the LISCC framework or have total consolidated assets of $250 billion or more or consolidated total on-balance sheet foreign exposure of $10 billion or more.</t>
  </si>
  <si>
    <t xml:space="preserve">gs-11</t>
  </si>
  <si>
    <t xml:space="preserve">V. MODEL VALIDATION</t>
  </si>
  <si>
    <t xml:space="preserve">SR 11-7 frames model validation as a set of processes and activities to verify that models are performing as expected, aligning with their design objectives and business uses. It emphasizes the importance of validation in ensuring model soundness and identifying potential limitations and assumptions.</t>
  </si>
  <si>
    <t xml:space="preserve">V. MODEL VALIDATION, V. MODEL VALIDATION</t>
  </si>
  <si>
    <t xml:space="preserve">Principle 4.3 Process verification</t>
  </si>
  <si>
    <t xml:space="preserve">SS1/23 frames model validation as including verification of model inputs, calculations, and reporting outputs to confirm that all model components are operating effectively and are implemented as intended. It emphasizes the need for accurate, controlled, and auditable systems implementation and reporting outputs.</t>
  </si>
  <si>
    <t xml:space="preserve">gs-12</t>
  </si>
  <si>
    <t xml:space="preserve">LEX40.1</t>
  </si>
  <si>
    <t xml:space="preserve">Basel LEX, LEX40.1 sets the large exposure limit at 15% of Tier 1 capital for G-SIBs.</t>
  </si>
  <si>
    <t xml:space="preserve">LEX40.1, LEX40.2, LEX40.3</t>
  </si>
  <si>
    <t xml:space="preserve">S4</t>
  </si>
  <si>
    <t xml:space="preserve">RBC20.14</t>
  </si>
  <si>
    <t xml:space="preserve">Basel RBC, RBC20.14 states that jurisdictions may use basic or standardised approaches instead of internally modelled ones, but must comply with the Basel framework.</t>
  </si>
  <si>
    <t xml:space="preserve">gs-13</t>
  </si>
  <si>
    <t xml:space="preserve">2. Model Validation and Independent Review of Estimation Approaches</t>
  </si>
  <si>
    <t xml:space="preserve">The core elements of model validation include conceptual soundness review, ongoing monitoring, and effective challenge of models.</t>
  </si>
  <si>
    <t xml:space="preserve">Model validation also involves maintaining an inventory of all estimation approaches and applying compensating controls when necessary.</t>
  </si>
  <si>
    <t xml:space="preserve">gs-14</t>
  </si>
  <si>
    <t xml:space="preserve">2. Ongoing Monitoring</t>
  </si>
  <si>
    <t xml:space="preserve">Previous US guidance expected banks to conduct ongoing monitoring of models to ensure they are appropriately implemented and being used, and to evaluate whether changes in products, exposures, activities, clients, or market conditions necessitate adjustment, redevelopment, or replacement of the model.</t>
  </si>
  <si>
    <t xml:space="preserve">2. Ongoing Monitoring, 2. Ongoing Monitoring, 2. Ongoing Monitoring, 2. Ongoing Monitoring</t>
  </si>
  <si>
    <t xml:space="preserve">Previous US guidance emphasized the importance of regularly assessing model limitations identified in the development stage and including procedures for responding to any issues that may occur, before and after a model is approved for use.</t>
  </si>
  <si>
    <t xml:space="preserve">gs-15</t>
  </si>
  <si>
    <t xml:space="preserve">V. MODEL VALIDATION AND MONITORING</t>
  </si>
  <si>
    <t xml:space="preserve">Before a model is relied on for business decisions, validation activities include a regular programme of backtesting, ex-post comparison of risk measures generated by the model against realised risk measures, and comparing hypothetical changes based on static positions with realised measures.</t>
  </si>
  <si>
    <t xml:space="preserve">V. MODEL VALIDATION AND MONITORING, V. MODEL VALIDATION AND MONITORING</t>
  </si>
  <si>
    <t xml:space="preserve">Validation activities also involve an independent review of the model's suitability and conceptual soundness, verification of the integrity of implementation, and ongoing testing to confirm that the model continues to perform as intended.</t>
  </si>
  <si>
    <t xml:space="preserve">gs-16</t>
  </si>
  <si>
    <t xml:space="preserve">35</t>
  </si>
  <si>
    <t xml:space="preserve">Banks should develop and maintain strong risk data aggregation capabilities to ensure that risk management reports reflect the risks in a reliable way.</t>
  </si>
  <si>
    <t xml:space="preserve">Risk data aggregation capabilities and risk reporting practices are considered separately in this paper, but they are clearly inter-linked and cannot exist in isolation. High quality risk management reports rely on the existence of strong risk data aggregation capabilities.</t>
  </si>
  <si>
    <t xml:space="preserve">gs-17</t>
  </si>
  <si>
    <t xml:space="preserve">1. Stress testing frameworks should have clearly articulated and formally adopted objectives</t>
  </si>
  <si>
    <t xml:space="preserve">Stress testing frameworks should have clearly articulated and formally adopted objectives that are documented and approved at the board level of the organisation, or an appropriately senior-level governance body.</t>
  </si>
  <si>
    <t xml:space="preserve">Stress testing frameworks should include an effective governance structure that is clear, comprehensive and documented, specifying the roles and responsibilities of senior management, oversight bodies and those responsible for the ongoing operation of the stress testing framework.</t>
  </si>
  <si>
    <t xml:space="preserve">gs-18</t>
  </si>
  <si>
    <t xml:space="preserve">1.4</t>
  </si>
  <si>
    <t xml:space="preserve">The five high-level principles set out in SS1/23 are: 1. Introduction, 2. Model risk mitigants, 3. Exceptions and escalations, 4. Internal Audit, and 5. Use of externally developed models, third-party vendor products.</t>
  </si>
  <si>
    <t xml:space="preserve">Principle 2.5 Internal Audit</t>
  </si>
  <si>
    <t xml:space="preserve">gs-19</t>
  </si>
  <si>
    <t xml:space="preserve">LEX10.8</t>
  </si>
  <si>
    <t xml:space="preserve">An exposure is defined as a large exposure if it is equal to or above 10% of the bank's Tier 1 capital, as defined in CAP10.2, according to Basel LEX, LEX10.8.</t>
  </si>
  <si>
    <t xml:space="preserve">LEX30.33</t>
  </si>
  <si>
    <t xml:space="preserve">A bank must consider exposures to any counterparty, with the exception of sovereigns as defined in LEX30.31, and exposures to exempted entities that are hedged by a credit derivative must be treated according to LEX30.14 and LEX30.28.</t>
  </si>
  <si>
    <t xml:space="preserve">LEX30.33, LEX30.34</t>
  </si>
  <si>
    <t xml:space="preserve">gs-20</t>
  </si>
  <si>
    <t xml:space="preserve">LEX10.9</t>
  </si>
  <si>
    <t xml:space="preserve">A group of connected counterparties is defined as a group of counterparties with specific relationships or dependencies such that, were one of the counterparties to fail, all of the counterparties would very likely fail.</t>
  </si>
  <si>
    <t xml:space="preserve">LEX10.9, LEX10.10, LEX10.11, LEX10.12, LEX10.13, LEX10.14, LEX10.15, LEX10.16, LEX10.17, LEX10.18</t>
  </si>
  <si>
    <t xml:space="preserve">A group of connected counterparties must be treated as a single counterparty for the purpose of applying the large exposure limit and regulatory reporting requirements.</t>
  </si>
  <si>
    <t xml:space="preserve">gs-21</t>
  </si>
  <si>
    <t xml:space="preserve">CAP10.8</t>
  </si>
  <si>
    <t xml:space="preserve">An instrument must meet all of the criteria that follow to be included in Common Equity Tier 1 capital.</t>
  </si>
  <si>
    <t xml:space="preserve">The instrument must be identical to voting common shares of the issuing bank in all respects except the absence of voting rights if it is issued as non-voting common shares.</t>
  </si>
  <si>
    <t xml:space="preserve">gs-22</t>
  </si>
  <si>
    <t xml:space="preserve">Footnotes</t>
  </si>
  <si>
    <t xml:space="preserve">NO</t>
  </si>
  <si>
    <t xml:space="preserve">NOLOC</t>
  </si>
  <si>
    <t xml:space="preserve">The Basel framework is applied on a consolidated basis to internationally active banks.</t>
  </si>
  <si>
    <t xml:space="preserve">SCO10.3, SCO10.4, SCO10.5</t>
  </si>
  <si>
    <t xml:space="preserve">SCO10.2</t>
  </si>
  <si>
    <t xml:space="preserve">The Basel framework is applied on a fully consolidated basis to any holding company that is the parent entity within a banking group.</t>
  </si>
  <si>
    <t xml:space="preserve">SCO10.1, SCO10.2</t>
  </si>
  <si>
    <t xml:space="preserve">gs-23</t>
  </si>
  <si>
    <t xml:space="preserve">31</t>
  </si>
  <si>
    <t xml:space="preserve">Principle 1 of BCBS 239 requires that a bank's risk data aggregation capabilities and risk reporting practices be subject to strong governance arrangements consistent with other principles and guidance established by the Basel Committee.</t>
  </si>
  <si>
    <t xml:space="preserve">Principle 1 of BCBS 239 emphasizes that a bank's board and senior management should promote the identification, assessment, and management of data quality risks as part of its overall risk management framework.</t>
  </si>
  <si>
    <t xml:space="preserve">gs-24</t>
  </si>
  <si>
    <t xml:space="preserve">· Level of application :</t>
  </si>
  <si>
    <t xml:space="preserve">When a material exposure to a counterparty is non-performing, the bank must consider all exposures to that counterparty as non-performing if any one of the material exposures is nonperforming.</t>
  </si>
  <si>
    <t xml:space="preserve">· Level of application :, · Level of application :, · Level of application :</t>
  </si>
  <si>
    <t xml:space="preserve">3.2. Recategorisation of non-performing exposures as performing</t>
  </si>
  <si>
    <t xml:space="preserve">If the counterparty belongs to a group, the bank should consider the non-performing or performing status of the other group entities when deciding about the status of any of the group entities.</t>
  </si>
  <si>
    <t xml:space="preserve">gs-25</t>
  </si>
  <si>
    <t xml:space="preserve">The recategorisation of a non-performing exposure as performing requires that the counterparty does not have any material exposure more than 90 days past due.</t>
  </si>
  <si>
    <t xml:space="preserve">31, 3.2. Recategorisation of non-performing exposures as performing, 32</t>
  </si>
  <si>
    <t xml:space="preserve">Repayments have been made when due over a continuous repayment period as specified by the supervisor of at least three months.</t>
  </si>
  <si>
    <t xml:space="preserve">The counterparty's situation has improved so that the full repayment of the exposure is likely, according to the original or, when applicable, modified conditions.</t>
  </si>
  <si>
    <t xml:space="preserve">The exposure is not 'defaulted' according to the Basel II standard or 'impaired' according to the applicable accounting framework.</t>
  </si>
  <si>
    <t xml:space="preserve">gs-26</t>
  </si>
  <si>
    <t xml:space="preserve">Principle 2.1 Board of directors' responsibilities</t>
  </si>
  <si>
    <t xml:space="preserve">Principle 5 requires the board to set a model risk appetite that includes measures for effectiveness of the design and operation of the MRM framework, identifying models and approving their use, limits on model use, exceptions, and overall compliance, thresholds for acceptable model performance and tolerance for errors, and effectiveness of use of model risk mitigants and oversight of the use of expert judgement.</t>
  </si>
  <si>
    <t xml:space="preserve">Principle 5 requires the board to receive regular reports on the firms' model risk profile against its model risk appetite, including qualitative measures describing the effectiveness of the control framework and model use, significant model risks arising either from individual models or in aggregate, significant changes in model performance over time, and the extent of compliance with the MRM framework.</t>
  </si>
  <si>
    <t xml:space="preserve">gs-27</t>
  </si>
  <si>
    <t xml:space="preserve">1. Evaluation of Conceptual Soundness</t>
  </si>
  <si>
    <t xml:space="preserve">Validation should establish the conceptual soundness of the model and set appropriate conditions for its use.</t>
  </si>
  <si>
    <t xml:space="preserve">1. Evaluation of Conceptual Soundness, 1. Evaluation of Conceptual Soundness, 1. Evaluation of Conceptual Soundness</t>
  </si>
  <si>
    <t xml:space="preserve">Qualitative information and judgment used in model development should be evaluated to ensure they are well-supported and documented.</t>
  </si>
  <si>
    <t xml:space="preserve">gs-28</t>
  </si>
  <si>
    <t xml:space="preserve">SRP32.1</t>
  </si>
  <si>
    <t xml:space="preserve">Credit risk stress test results contribute directly to the expectation that a bank will operate above the Pillar 1 minimum regulatory capital ratios.</t>
  </si>
  <si>
    <t xml:space="preserve">Supervisors will consider whether a bank has sufficient capital for these purposes, and if not, will require the bank to reduce its risks and/or hold additional capital/provisions.</t>
  </si>
  <si>
    <t xml:space="preserve">gs-29</t>
  </si>
  <si>
    <t xml:space="preserve">CRE22.17</t>
  </si>
  <si>
    <t xml:space="preserve">Where a bank takes eligible financial collateral, it may reduce its regulatory capital requirements through the application of CRM techniques.</t>
  </si>
  <si>
    <t xml:space="preserve">CRE22.16, CRE22.17, CRE22.19, CRE22.20, CRE22.21, CRE22.22, CRE22.23, CRE22.24</t>
  </si>
  <si>
    <t xml:space="preserve">Banks may opt for either the simple approach, which replaces the risk weight of the counterparty with the risk weight of the collateral for the collateralised portion of the exposure, or the comprehensive approach, which allows a more precise offset of collateral against exposures.</t>
  </si>
  <si>
    <t xml:space="preserve">gs-30</t>
  </si>
  <si>
    <t xml:space="preserve">A bank whose CET1 ratio is between 5.125% and 5.75% is required to conserve 80% of its earnings in the subsequent payment period, which means it may distribute up to 20% of its earnings.</t>
  </si>
  <si>
    <t xml:space="preserve">The capital conservation buffer for this range is determined at each distribution date, and the constraints on distributions are based on the current CET1 ratio of the bank before the next distribution is made.</t>
  </si>
  <si>
    <t xml:space="preserve">gs-31</t>
  </si>
  <si>
    <t xml:space="preserve">Determining significant increases in credit risk</t>
  </si>
  <si>
    <t xml:space="preserve">The more than 30 days past due rebuttable presumption in IFRS 9 is a presumption that the credit risk on a financial instrument has increased significantly since initial recognition when contractual payments are more than 30 days past due.</t>
  </si>
  <si>
    <t xml:space="preserve">An entity can rebut this presumption if it has reasonable and supportable information that demonstrates that the credit risk has not increased significantly since initial recognition even though the contractual payments are more than 30 days past due.</t>
  </si>
  <si>
    <t xml:space="preserve">gs-32</t>
  </si>
  <si>
    <t xml:space="preserve">LEX30.43</t>
  </si>
  <si>
    <t xml:space="preserve">A bank must look through a structure to identify those underlying assets for which the underlying exposure value is equal to or above 0.25% of its Tier 1 capital.</t>
  </si>
  <si>
    <t xml:space="preserve">LEX30.41, LEX30.42, LEX30.43, LEX30.44, LEX30.45, LEX30.46, LEX30.47, LEX30.48, LEX30.49, LEX30.50, LEX30.51, LEX30.52, LEX30.53</t>
  </si>
  <si>
    <t xml:space="preserve">If the underlying exposure value is equal to or above 0.25% of its Tier 1 capital, the bank must identify the corresponding underlying assets to add their exposures to any other direct or indirect exposure to the same counterparty.</t>
  </si>
  <si>
    <t xml:space="preserve">gs-33</t>
  </si>
  <si>
    <t xml:space="preserve">UK supervisory expectations emphasize the importance of independence in model validation, requiring the validation function to operate independently from the model development process and model owners.</t>
  </si>
  <si>
    <t xml:space="preserve">US supervisory expectations, as outlined in 12 CFR Part 252, stress the need for independent and comprehensive model validation, with a dedicated unit of validation staff and an advisory council to ensure effective challenge of models.</t>
  </si>
  <si>
    <t xml:space="preserve">gs-34</t>
  </si>
  <si>
    <t xml:space="preserve">Principle 2.3 Policies and procedures</t>
  </si>
  <si>
    <t xml:space="preserve">UK expectations require firms to have comprehensive policies and procedures that formalize the MRM framework and ensure effective and consistent application across the firm.</t>
  </si>
  <si>
    <t xml:space="preserve">Principle 2.3 Policies and procedures, Principle 2.3 Policies and procedures, Principle 2.3 Policies and procedures</t>
  </si>
  <si>
    <t xml:space="preserve">US expectations emphasize that policies should cross-reference and align with other relevant parts of their broader risk management policies, and compliance with internal policies and applicable regulatory requirements should be assessed and reported to the board of directors on a regular basis.</t>
  </si>
  <si>
    <t xml:space="preserve">gs-35</t>
  </si>
  <si>
    <t xml:space="preserve">UK frameworks, such as SR 26-2 and SS1/23, emphasize the importance of ongoing model monitoring to assess performance against thresholds and ensure model reliability, with a focus on validation and risk management.</t>
  </si>
  <si>
    <t xml:space="preserve">US frameworks, like SR 15-18 and SS1/23, require firms to conduct ongoing model performance monitoring to evaluate model performance against design objectives, assess changes in products, exposures, and market conditions, and ensure model adjustments or redevelopment are made when necessary.</t>
  </si>
  <si>
    <t xml:space="preserve">gs-36</t>
  </si>
  <si>
    <t xml:space="preserve">Introduction</t>
  </si>
  <si>
    <t xml:space="preserve">BCBS 239 frames governance by emphasizing the importance of risk data aggregation capabilities and risk reporting practices, and by requiring supervisors to discuss experiences regarding the quality of these capabilities and practices across the group.</t>
  </si>
  <si>
    <t xml:space="preserve">Additional points for banks:</t>
  </si>
  <si>
    <t xml:space="preserve">BCBS d450 frames governance by highlighting the need for banks to ensure consistency of data sources, processing, and aggregation across their stress tests, and by requiring strong governance arrangements for risk data aggregation capabilities.</t>
  </si>
  <si>
    <t xml:space="preserve">gs-37</t>
  </si>
  <si>
    <t xml:space="preserve">Transitional arrangements for certain capital instruments</t>
  </si>
  <si>
    <t xml:space="preserve">Basel CAP defines its scope as capital instruments, which are specific types of financial assets, while Basel SCO defines its scope as entities, which are broader legal entities.</t>
  </si>
  <si>
    <t xml:space="preserve">SCO60.1</t>
  </si>
  <si>
    <t xml:space="preserve">Basel CAP's scope includes transitional arrangements for certain capital instruments, which are phased out over time, while Basel SCO's scope includes a broader range of financial instruments and entities, including cryptoassets and other digital assets.</t>
  </si>
  <si>
    <t xml:space="preserve">SCO60.1, SCO60.2, SCO60.3, SCO60.4, SCO60.5</t>
  </si>
  <si>
    <t xml:space="preserve">gs-38</t>
  </si>
  <si>
    <t xml:space="preserve">IFRS 9 allows a 180 days past due threshold for retail and public sector exposures.</t>
  </si>
  <si>
    <t xml:space="preserve">BCBS d403 requires that non-performing status be applied at the counterparty level for exposures to a non-retail counterparty where the bank has more than one exposure to that counterparty.</t>
  </si>
  <si>
    <t xml:space="preserve">gs-39</t>
  </si>
  <si>
    <t xml:space="preserve">SR 15-18 describes the areas of capital planning expectations for firms subject to Category I standards, including governance, risk management, internal controls, capital policy, incorporating stressful conditions and events, and estimating impact on capital positions.</t>
  </si>
  <si>
    <t xml:space="preserve">III. Capital Planning Expectations</t>
  </si>
  <si>
    <t xml:space="preserve">SR 15-19 describes the areas of capital planning expectations for firms subject to Category II or III standards, including governance, risk management, internal controls, capital policy, incorporating stressful conditions and events, and estimating impact on capital positions.</t>
  </si>
  <si>
    <t xml:space="preserve">gs-40</t>
  </si>
  <si>
    <t xml:space="preserve">Principle 1</t>
  </si>
  <si>
    <t xml:space="preserve">Governance arrangements over risk data aggregation and reporting should be subject to strong governance arrangements consistent with other principles and guidance established by the Basel Committee.</t>
  </si>
  <si>
    <t xml:space="preserve">A bank's board and senior management should promote the identification, assessment, and management of data quality risks as part of its overall risk management framework.</t>
  </si>
  <si>
    <t xml:space="preserve">gs-41</t>
  </si>
  <si>
    <t xml:space="preserve">Exposures to different legal entities must be treated as exposures to a single counterparty if they form a group of connected counterparties, as defined in the excerpts.</t>
  </si>
  <si>
    <t xml:space="preserve">LEX10.9, LEX10.10, LEX10.11, LEX10.12, LEX10.13, LEX10.14, LEX10.15, LEX10.16</t>
  </si>
  <si>
    <t xml:space="preserve">A group of connected counterparties is treated as a single counterparty for the purpose of applying the large exposure limit and regulatory reporting requirements.</t>
  </si>
  <si>
    <t xml:space="preserve">gs-42</t>
  </si>
  <si>
    <t xml:space="preserve">Principle 3.4 Model adjustments and expert judgement</t>
  </si>
  <si>
    <t xml:space="preserve">Documentation of judgmental assessments made during model development should be comprehensive and up-to-date, including detailed explanations of the assumptions, limitations, and rationale behind the judgments.</t>
  </si>
  <si>
    <t xml:space="preserve">Model documentation must include sufficient detail so that an independent third party can understand how the model operates, identify key model assumptions and limitations, and replicate parameter estimation and model results.</t>
  </si>
  <si>
    <t xml:space="preserve">gs-43</t>
  </si>
  <si>
    <t xml:space="preserve">(c)(2)</t>
  </si>
  <si>
    <t xml:space="preserve">The board of directors or a committee thereof of a covered company must review and approve the policies and procedures of the stress testing processes as frequently as economic conditions or the condition of the covered company may warrant, but no less than each year a stress test is conducted.</t>
  </si>
  <si>
    <t xml:space="preserve">Additional points for authorities:</t>
  </si>
  <si>
    <t xml:space="preserve">Authorities should ensure that a comprehensive governance structure for all aspects of their stress testing framework is formulated by key stakeholders.</t>
  </si>
  <si>
    <t xml:space="preserve">gs-44</t>
  </si>
  <si>
    <t xml:space="preserve">Earlier US guidance stated that model validation should be performed by staff with appropriate incentives, competence, and influence.</t>
  </si>
  <si>
    <t xml:space="preserve">Earlier US guidance emphasized that validation should be conducted by individuals who are not responsible for model development or use and should not have a stake in the model's validity.</t>
  </si>
  <si>
    <t xml:space="preserve">gs-45</t>
  </si>
  <si>
    <t xml:space="preserve">II. PURPOSE AND SCOPE</t>
  </si>
  <si>
    <t xml:space="preserve">Previous US guidance emphasized the importance of model validation in model risk management, with a focus on rigorous validation plays a critical role.</t>
  </si>
  <si>
    <t xml:space="preserve">The guidance also highlighted the need for sound development, implementation, and use of models, as well as the inclusion of governance and control mechanisms in model risk management.</t>
  </si>
  <si>
    <t xml:space="preserve">gs-46</t>
  </si>
  <si>
    <t xml:space="preserve">Summary of the Principles</t>
  </si>
  <si>
    <t xml:space="preserve">Principle 1 covers overarching governance and infrastructure.</t>
  </si>
  <si>
    <t xml:space="preserve">Principle 3 covers risk reporting practices.</t>
  </si>
  <si>
    <t xml:space="preserve">Principle 5 covers supervisory review, tools and cooperation.</t>
  </si>
  <si>
    <t xml:space="preserve">gs-47</t>
  </si>
  <si>
    <t xml:space="preserve">Key Elements of Comprehensive Validation</t>
  </si>
  <si>
    <t xml:space="preserve">The three core elements of validation under SR 11-7 are evaluation of conceptual soundness, ongoing monitoring, and outcomes analysis.</t>
  </si>
  <si>
    <t xml:space="preserve">Evaluation of conceptual soundness involves developmental evidence and the assessment of model components' functionality.</t>
  </si>
  <si>
    <t xml:space="preserve">Ongoing monitoring includes process verification, benchmarking, and the regular assessment of model limitations.</t>
  </si>
  <si>
    <t xml:space="preserve">3. Outcomes Analysis</t>
  </si>
  <si>
    <t xml:space="preserve">Outcomes analysis compares model outputs to actual outcomes, involving statistical tests and expert judgment.</t>
  </si>
  <si>
    <t xml:space="preserve">gs-48</t>
  </si>
  <si>
    <t xml:space="preserve">Principle 1 requires firms to identify, manage, and control the risks associated with the use of all models, developed in-house or externally, including vendor models.</t>
  </si>
  <si>
    <t xml:space="preserve">Principle 4 requires firms to strengthen their policies, procedures, and practices to identify, manage, and control the risks associated with the use of all models, developed in-house or externally, including vendor models.</t>
  </si>
  <si>
    <t xml:space="preserve">Principle 5.3 Exceptions and escalations</t>
  </si>
  <si>
    <t xml:space="preserve">Principle 5 requires firms to establish escalation procedures to be followed and to manage exceptions that may arise during the use of models.</t>
  </si>
  <si>
    <t xml:space="preserve">Principle 5.3 Exceptions and escalations, Principle 5.3 Exceptions and escalations</t>
  </si>
  <si>
    <t xml:space="preserve">Question</t>
  </si>
  <si>
    <t xml:space="preserve">Your verdict</t>
  </si>
  <si>
    <t xml:space="preserve">Should have been</t>
  </si>
  <si>
    <t xml:space="preserve">Note</t>
  </si>
  <si>
    <t xml:space="preserve">cb-01</t>
  </si>
  <si>
    <t xml:space="preserve">What does BCBS 239 require of a bank's data architecture and IT infrastructure?</t>
  </si>
  <si>
    <t xml:space="preserve">Principle 2</t>
  </si>
  <si>
    <t xml:space="preserve">BCBS 239 requires banks to design, build, and maintain data architecture and IT infrastructure that fully supports its risk data aggregation capabilities and risk reporting practices, not only in normal times but also during times of stress or crisis.</t>
  </si>
  <si>
    <t xml:space="preserve">86</t>
  </si>
  <si>
    <t xml:space="preserve">BCBS 239 mandates that banks establish integrated data taxonomies and architecture across the banking group, including information on the characteristics of the data (metadata), as well as use of single identifiers and/or unified naming conventions for data including legal entities, counterparties, customers, and accounts.</t>
  </si>
  <si>
    <t xml:space="preserve">cb-02</t>
  </si>
  <si>
    <t xml:space="preserve">What does SS1/23 say about the responsibilities of the board for model risk?</t>
  </si>
  <si>
    <t xml:space="preserve">The firm-wide MRM framework should be subject to leadership from the board of directors to ensure it is effectively designed.</t>
  </si>
  <si>
    <t xml:space="preserve">The board should set a model risk appetite that articulates the level and types of model risk the firm is willing to accept.</t>
  </si>
  <si>
    <t xml:space="preserve">The board should receive regular reports on the firms' model risk profile against its model risk appetite.</t>
  </si>
  <si>
    <t xml:space="preserve">The board is expected to provide challenge to the outputs of the most material models.</t>
  </si>
  <si>
    <t xml:space="preserve">cb-03</t>
  </si>
  <si>
    <t xml:space="preserve">What does Basel LEX define as a large exposure?</t>
  </si>
  <si>
    <t xml:space="preserve">Basel LEX defines a large exposure as the sum of all exposure values of a bank to a counterparty or to a group of connected counterparties, as defined in LEX10.9 to LEX10.18, if it is equal to or above 10% of the bank's Tier 1 capital.</t>
  </si>
  <si>
    <t xml:space="preserve">A bank must report exposures subject to the sovereign exemption if these exposures meet the criteria for definition as a large exposure, as specified in LEX20.4.</t>
  </si>
  <si>
    <t xml:space="preserve">cb-04</t>
  </si>
  <si>
    <t xml:space="preserve">What does 12 CFR 225.8 require a bank holding company to include in its capital plan?</t>
  </si>
  <si>
    <t xml:space="preserve">(e)(i)</t>
  </si>
  <si>
    <t xml:space="preserve">A bank holding company must include an assessment of the expected uses and sources of capital over the planning horizon, reflecting its size, complexity, risk profile, and scope of operations, assuming both expected and stressful conditions, including projected revenues, losses, reserves, and pro forma capital levels, including regulatory capital ratios, and any additional capital measures deemed relevant by the bank holding company, over the planning horizon under a range of scenarios, including the Internal baseline scenario and at least one Internal stress scenario, as well as any additional scenarios, based on financial conditions or the macroeconomic outlook, or based on the bank holding company's financial condition, size, complexity, risk profile, or activities, or risks to the U.S. economy, that the Federal Reserve may provide the bank holding company after giving notice to the bank holding company.</t>
  </si>
  <si>
    <t xml:space="preserve">A bank holding company must include a detailed description of its process for assessing capital adequacy, including how it will maintain capital commensurate with its risks, maintain capital above the regulatory capital ratios, and serve as a source of strength to its subsidiary depository institutions; and how it will maintain sufficient capital to continue its operations by maintaining ready access to funding, meeting its obligations to creditors and other counterparties, and continuing to serve as a credit intermediary.</t>
  </si>
  <si>
    <t xml:space="preserve">cb-05</t>
  </si>
  <si>
    <t xml:space="preserve">What does SR 11-7 say about the independence of model validation?</t>
  </si>
  <si>
    <t xml:space="preserve">SR 11-7 emphasizes the importance of independence in model validation, ensuring that validation is conducted by individuals who are not involved in model development or use and do not have a stake in the model's validity.</t>
  </si>
  <si>
    <t xml:space="preserve">Independence in model validation is not an end in itself but rather a means to align incentives with the goals of validation, ensuring objectivity and preventing bias.</t>
  </si>
  <si>
    <t xml:space="preserve">cb-06</t>
  </si>
  <si>
    <t xml:space="preserve">What does IFRS 9 require when measuring expected credit losses at initial recognition?</t>
  </si>
  <si>
    <t xml:space="preserve">Appendix A Defined terms</t>
  </si>
  <si>
    <t xml:space="preserve">IFRS 9 requires that the entity measure the lifetime expected credit losses at initial recognition.</t>
  </si>
  <si>
    <t xml:space="preserve">The entity must consider all contractual terms of the financial asset when estimating the expected cash flows for measuring expected credit losses.</t>
  </si>
  <si>
    <t xml:space="preserve">cb-07</t>
  </si>
  <si>
    <t xml:space="preserve">What do UK supervisory expectations require for the independence of model validation?</t>
  </si>
  <si>
    <t xml:space="preserve">single_jurisdiction</t>
  </si>
  <si>
    <t xml:space="preserve">UK supervisory expectations require that the independent validation function operate independently from the model development process and from model owners.</t>
  </si>
  <si>
    <t xml:space="preserve">UK supervisory expectations require that firms demonstrate independence through separate reporting lines for model validators and model developers and owners, applicable across the MRM framework.</t>
  </si>
  <si>
    <t xml:space="preserve">cb-08</t>
  </si>
  <si>
    <t xml:space="preserve">What must a US firm submit to the Federal Reserve as part of its annual stress test?</t>
  </si>
  <si>
    <t xml:space="preserve">A US firm must submit its balance sheet and income statement data for the year ending December 31, 2025, as part of its annual stress test.</t>
  </si>
  <si>
    <t xml:space="preserve">The Federal Reserve requires that firms submit their financial data via the FR Y-14 information collection to produce supervisory stress test estimates.</t>
  </si>
  <si>
    <t xml:space="preserve">cb-09</t>
  </si>
  <si>
    <t xml:space="preserve">What do UK and US expectations each say about who owns a model?</t>
  </si>
  <si>
    <t xml:space="preserve">Differences in Expectations for firms subject to Category I standards, as compared to firms subject to Category II or II</t>
  </si>
  <si>
    <t xml:space="preserve">UK expectations state that the model owner is the individual accountable for a model's development, implementation, and use, and ensures that a model's performance is within expectation. The model owner could also be the model developer or user.</t>
  </si>
  <si>
    <t xml:space="preserve">Differences in Expectations for firms subject to Category I standards, as compared to firms subject to Category II and I</t>
  </si>
  <si>
    <t xml:space="preserve">US expectations state that the model owner is the individual accountable for a model's development, implementation, and use, and ensures that a model's performance is within expectation. The model owner could also be the model developer or user.</t>
  </si>
  <si>
    <t xml:space="preserve">cb-10</t>
  </si>
  <si>
    <t xml:space="preserve">How do UK and US expectations each define a model?</t>
  </si>
  <si>
    <t xml:space="preserve">2.4</t>
  </si>
  <si>
    <t xml:space="preserve">UK and US expectations define a model differently. Under UK expectations, a model is defined as a complex quantitative method, system, or approach that applies statistical, economic, or financial theories to process input data into quantitative estimates. Under US expectations, a model is defined as a quantitative method that applies statistical, economic, financial, or mathematical theories, techniques, and assumptions to process input data into output.</t>
  </si>
  <si>
    <t xml:space="preserve">cb-11</t>
  </si>
  <si>
    <t xml:space="preserve">What changed in US model risk guidance compared with the previous version?</t>
  </si>
  <si>
    <t xml:space="preserve">The US model risk guidance was updated to include all aspects of model risk management, expanding on previous guidance that focused primarily on model validation.</t>
  </si>
  <si>
    <t xml:space="preserve">The new guidance emphasizes the importance of governance and control mechanisms, including board and senior management oversight, policies and procedures, and an appropriate incentive and organizational structure.</t>
  </si>
  <si>
    <t xml:space="preserve">cb-12</t>
  </si>
  <si>
    <t xml:space="preserve">What do Basel CAP and Basel RBC each say about the composition of Tier 1 capital?</t>
  </si>
  <si>
    <t xml:space="preserve">CAP10.2</t>
  </si>
  <si>
    <t xml:space="preserve">Basel CAP, CAP10.2 states that Tier 1 capital is the sum of Common Equity Tier 1 and Additional Tier 1 capital, net of the regulatory adjustments in CAP30 applied to those categories.</t>
  </si>
  <si>
    <t xml:space="preserve">RBC20.2</t>
  </si>
  <si>
    <t xml:space="preserve">Basel RBC, RBC20.2 defines the components of capital referred to in RBC20.1 as including Common Equity Tier 1, Additional Tier 1, and Tier 2 capital, net of regulatory adjustments (defined in CAP30) and subject to transitional arrangements in CAP90.</t>
  </si>
  <si>
    <t xml:space="preserve">cb-13</t>
  </si>
  <si>
    <t xml:space="preserve">What is effective challenge in model risk management?</t>
  </si>
  <si>
    <t xml:space="preserve">III. OVERVIEW OF MODEL RISK AND MODEL RISK MANAGEMENT</t>
  </si>
  <si>
    <t xml:space="preserve">Effective challenge in model risk management refers to the critical analysis conducted by objective experts who evaluate model risk and effect appropriate changes throughout the model lifecycle, from model development to ongoing monitoring.</t>
  </si>
  <si>
    <t xml:space="preserve">Effective challenge is performed by individuals with the appropriate expertise to conduct a critical and objective challenge, sufficient independence to maintain objectivity, as well as the organizational standing and influence to effect any change.</t>
  </si>
  <si>
    <t xml:space="preserve">cb-14</t>
  </si>
  <si>
    <t xml:space="preserve">What is a significant increase in credit risk?</t>
  </si>
  <si>
    <t xml:space="preserve">Collective and individual assessment basis</t>
  </si>
  <si>
    <t xml:space="preserve">A significant increase in credit risk refers to a substantial change in the likelihood or risk of a default occurring on a financial instrument since its initial recognition, as determined by specific criteria outlined in IFRS 9.</t>
  </si>
  <si>
    <t xml:space="preserve">Determining whether credit risk has increased significantly since initial recognition</t>
  </si>
  <si>
    <t xml:space="preserve">This increase is assessed based on factors such as changes in credit spreads, default swap prices, and other market indicators that reflect a higher risk of default compared to the initial recognition date.</t>
  </si>
  <si>
    <t xml:space="preserve">cb-15</t>
  </si>
  <si>
    <t xml:space="preserve">What does Basel SRP32 say about the governance of a bank's internal stress testing programme?</t>
  </si>
  <si>
    <t xml:space="preserve">SRP32.21</t>
  </si>
  <si>
    <t xml:space="preserve">Basel SRP32 requires banks to have a routine and rigorous program of stress testing in place as a supplement to the CCR analysis based on the day-to-day output of the firm's risk measurement model.</t>
  </si>
  <si>
    <t xml:space="preserve">A bank's CCR management system must be used in conjunction with internal credit and trading limits, and the results of stress tests must be reviewed periodically by senior management and reflected in the CCR policies and limits set by management and the board of directors.</t>
  </si>
  <si>
    <t xml:space="preserve">HOW TO FILL THIS IN</t>
  </si>
  <si>
    <t xml:space="preserve">Yellow cells are yours to edit. Everything else is output — leave it alone.</t>
  </si>
  <si>
    <t xml:space="preserve">Your verdict — pick from the dropdown: RIGHT | WRONG | UNGRADABLE.</t>
  </si>
  <si>
    <t xml:space="preserve">   RIGHT       the sentence came from the paragraph that was cited</t>
  </si>
  <si>
    <t xml:space="preserve">   WRONG       it came from a different paragraph in the SAME window</t>
  </si>
  <si>
    <t xml:space="preserve">   UNGRADABLE  it draws on more than one paragraph — drop that question from the set</t>
  </si>
  <si>
    <t xml:space="preserve">Should have been — if WRONG, the locator it should have cited (e.g. LEX30.42). Turns a tally into a diagnosis.</t>
  </si>
  <si>
    <t xml:space="preserve">Example row: verdict WRONG | should have been 'RBC30.3' | note 'came from the paragraph above'.</t>
  </si>
  <si>
    <t xml:space="preserve">Read the claim BEFORE the Aligner verdict column — knowing what the aligner thought biases the grade.</t>
  </si>
  <si>
    <t xml:space="preserve">The paragraphs the model read are on the '3b windows' sheet, filtered by Question id and Label.</t>
  </si>
  <si>
    <t xml:space="preserve">Document</t>
  </si>
  <si>
    <t xml:space="preserve">Paragraph locator</t>
  </si>
  <si>
    <t xml:space="preserve">Paragraph text</t>
  </si>
  <si>
    <t xml:space="preserve">BCBS 239</t>
  </si>
  <si>
    <t xml:space="preserve">Data architecture and IT infrastructure - A bank should design, build and maintain data architecture and IT infrastructure which fully supports its risk data aggregation capabilities and risk reporting practices not only in normal times but also during times of stress or crisis, while still meeting the other Principles.</t>
  </si>
  <si>
    <t xml:space="preserve">26</t>
  </si>
  <si>
    <t xml:space="preserve">26. A bank should have in place a strong governance framework, risk data architecture and IT infrastructure. These are preconditions to ensure compliance with the other Principles included in this document. In particular, a bank's board should oversee senior management's ownership of implementing all the risk data aggregation and risk reporting principles and the strategy to meet them within a timeframe agreed with their supervisors.</t>
  </si>
  <si>
    <t xml:space="preserve">86. Supervisors expect that a bank's data and IT infrastructures will be enhanced in the coming years to ensure that its risk data aggregation capabilities and risk reporting practices are sufficiently robust and flexible enough to address their potential needs in normal times and particularly during times of stress/crisis.</t>
  </si>
  <si>
    <t xml:space="preserve">SS1/23</t>
  </si>
  <si>
    <t xml:space="preserve">d) The board should receive regular reports on the firms' model risk profile against its model risk appetite. Reports should include qualitative measures describing: the effectiveness of the control framework and model use; the significant model risks arising either from individual models or in aggregate; significant changes in model performance over time; and the extent of compliance with the MRM framework.</t>
  </si>
  <si>
    <t xml:space="preserve">b) The framework should be designed to promote an understanding of model risk, on both an individual model basis as well as in aggregate across the firm, and should promote the management of model risk as a risk discipline in its own right. The framework should clearly define roles and responsibilities in relation to model risk across business, risk and control functions.</t>
  </si>
  <si>
    <t xml:space="preserve">c) The board should set a model risk appetite that articulates the level and types of model risk the firm is willing to accept. The model risk appetite should be proportionate to the nature and type of models used. Firms' model risk appetite should include measures for:</t>
  </si>
  <si>
    <t xml:space="preserve">Principle 2.2 SMF accountability for model risk management framework</t>
  </si>
  <si>
    <t xml:space="preserve">c) Consistent with other risk disciplines, the identification of a relevant SMF(s) with overall responsibility for MRM does not prejudice the respective responsibilities of business, risk and control functions in relation to the development and use of individual models. Model owners, model developers, and model users remain responsible for ensuring that individual models are developed, implemented, and used in accordance with the firm's MRM framework, model risk appetite, and limitations of use.</t>
  </si>
  <si>
    <t xml:space="preserve">2.13</t>
  </si>
  <si>
    <t xml:space="preserve">2.13 Large firms often establish a designated model risk function (MRM function) within their risk management or compliance departments. The MRM function may be separate from the model validation function, in which case they have distinct responsibilities. The MRM function is usually responsible for creating and maintaining the MRM framework and risk controls. Where firms do not establish a designated MRM function, the responsibilities for the MRM framework and risk controls are usually assigned to individuals and/or model risk committees (or a combination). Regardless of the structure of firms' business lines, the effectiveness of MRM control functions is affected by their stature and authority, for example to restrict the use of models, recommend conditional approval, or temporarily grant exceptions to model validation or approval.</t>
  </si>
  <si>
    <t xml:space="preserve">Basel LEX</t>
  </si>
  <si>
    <t xml:space="preserve">10.8 The sum of all exposure values of a bank to a counterparty or to a group of connected counterparties, as defined in LEX10.9 to LEX10.18, must be defined as a large exposure if it is equal to or above 10% of the bank's Tier 1 capital (as defined in CAP10.2). The exposure values must be measured as specified in LEX30.</t>
  </si>
  <si>
    <t xml:space="preserve">30.33 However, as specified in LEX20.4, a bank must report exposures subject to the sovereign exemption if these exposures meet the criteria for definition as a large exposure (see LEX10.8).</t>
  </si>
  <si>
    <t xml:space="preserve">LEX30.34</t>
  </si>
  <si>
    <t xml:space="preserve">30.34 In addition, if a bank has an exposure to an exempted entity which is hedged by a credit derivative, the bank will have to recognise an exposure to the counterparty providing the credit protection as prescribed in LEX30.14 and LEX30.28, notwithstanding the fact that the original exposure is exempted.</t>
  </si>
  <si>
    <t xml:space="preserve">Rationale and objectives of a large exposures framework</t>
  </si>
  <si>
    <t xml:space="preserve">LEX10.1</t>
  </si>
  <si>
    <t xml:space="preserve">10.1 Throughout history there have been instances of banks failing due to concentrated exposures to individual counterparties or groups of connected counterparties. Large exposures regulation has been developed as a tool for limiting the maximum loss a bank could face in the event of a sudden counterparty failure to a level that does not endanger the bank's solvency.</t>
  </si>
  <si>
    <t xml:space="preserve">LEX10.2</t>
  </si>
  <si>
    <t xml:space="preserve">10.2 A large exposures framework complements the Committee's risk-based capital standard because the latter is not designed specifically to protect banks from large losses resulting from the sudden default of a single counterparty or a group of connected counterparties. In particular, the minimum capital requirements (Pillar 1) of the Basel risk-based capital framework implicitly assume that a bank holds infinitely granular portfolios, ie no form of concentration risk is considered in calculating capital requirements. Contrary to this assumption, idiosyncratic risk due to large exposures to individual counterparties or groups of connected counterparties may be present in banks' portfolios. Although a supervisory review process (Pillar 2) concentration risk adjustment could be made to mitigate this risk, 1 these adjustments are neither harmonised across jurisdictions, nor designed to protect a bank against very large losses from the default of a single counterparty or a group of connected counterparties. For this reason, the risk-based capital framework is not sufficient to fully mitigate the microprudential risk from exposures that are large compared to a bank's capital resources. That framework needs to be supplemented with a simple large exposures framework that protects banks from traumatic losses caused by the sudden default of an individual counterparty or group of connected counterparties. To serve as a backstop to risk-based capital requirements, the large exposures framework should be designed so that the maximum possible loss a bank could incur if a single counterparty or group of connected counterparties were to suddenly fail would not endanger the bank's survival as a going concern. Footnotes</t>
  </si>
  <si>
    <t xml:space="preserve">1 The market risk standard MAR also explicitly requires that trading book models for specific risk capture concentration risk.</t>
  </si>
  <si>
    <t xml:space="preserve">LEX10.3</t>
  </si>
  <si>
    <t xml:space="preserve">10.3 The treatment of large exposures could also contribute to the stability of the financial system in a number of other ways. For example, material losses in one systemically important financial institution (SIFI) can trigger concerns about the solvency of other SIFIs, with potentially catastrophic consequences for global financial stability. There are at least two important channels for this contagion. First, investors may be concerned that other SIFIs might have exposures similar to those of the failing institution. Second, and more directly, investors may be concerned that other SIFIs have direct large exposures to the failing SIFI, in the form of either loans or credit guarantees. The Committee is of the view that the large exposures framework is a useful tool to mitigate the risk of contagion between global systemically important banks, thus supporting global financial stability. As a second example, this framework is also seen as a useful tool to contribute to strengthening the oversight and regulation of the shadow banking system in relation to large exposures, particularly the treatment of exposures to funds, securitisation structures and collective investment undertakings.</t>
  </si>
  <si>
    <t xml:space="preserve">LEX10.4</t>
  </si>
  <si>
    <t xml:space="preserve">10.4 The large exposures framework is constructed to serve as a backstop and complement to the risk-based capital standards. As a consequence, it must apply at the same level as the risk-based capital requirements are required to be applied following SCO10, ie at every tier</t>
  </si>
  <si>
    <t xml:space="preserve">LEX10.5</t>
  </si>
  <si>
    <t xml:space="preserve">10.5 The large exposures framework is applicable to all internationally active banks. As with all other standards issued by the Committee, member jurisdictions have the option to set more stringent standards. They also have the option to extend the application to a wider range of banks, with the possibility - if they deem it necessary - to develop a different approach for banks that usually fall outside the scope of the Basel framework. 2 Footnotes</t>
  </si>
  <si>
    <t xml:space="preserve">2 For instance, the Committee notes that for these banks that fall outside the scope of application of the Basel framework, there may be a case for recognising physical collateral, which is not recognised in the large exposures framework set out in this document.</t>
  </si>
  <si>
    <t xml:space="preserve">LEX10.6</t>
  </si>
  <si>
    <t xml:space="preserve">10.6 The application of the large exposures framework at the consolidated level implies that a bank must consider all exposures to third parties across the relevant regulatory consolidation group and compare the aggregate of those exposures with the group's Tier 1 capital.</t>
  </si>
  <si>
    <t xml:space="preserve">12 CFR 225.8</t>
  </si>
  <si>
    <t xml:space="preserve">(d)(17)</t>
  </si>
  <si>
    <t xml:space="preserve">(17) Regulatory capital ratio means a capital ratio for which the Board has established minimum requirements for the bank holding company by regulation or order, including, as applicable, the bank holding company's regulatory capital ratios calculated under 12 CFR part 217 and the deductions required under 12 CFR 248.12; except that the bank holding company shall not use the advanced approaches to calculate its regulatory capital ratios.</t>
  </si>
  <si>
    <t xml:space="preserve">(d)(8)</t>
  </si>
  <si>
    <t xml:space="preserve">(8) Category IV bank holding company means any bank holding company or U.S. intermediate holding company subject to this section that, as of December 31 of the prior capital plan cycle, is a Category IV banking organization pursuant to 12 CFR 252.5.</t>
  </si>
  <si>
    <t xml:space="preserve">(i) A bank holding company must develop and maintain a capital plan.</t>
  </si>
  <si>
    <t xml:space="preserve">(e)</t>
  </si>
  <si>
    <t xml:space="preserve">( 2 ) Any GSIB surcharge currently applicable to the bank holding company when the capital plan is submitted remains at the same level, except that the bank holding company must reflect any increase in its GSIB surcharge pursuant to 12 CFR 217.403(d)(1), beginning in the fifth quarter of the planning horizon.</t>
  </si>
  <si>
    <t xml:space="preserve">(e)(ii)</t>
  </si>
  <si>
    <t xml:space="preserve">(ii) A bank holding company must submit its complete capital plan to the Board and the appropriate Reserve Bank by April 5 of each calendar year, or such later date as directed by the Board or by the appropriate Reserve Bank with concurrence of the Board.</t>
  </si>
  <si>
    <t xml:space="preserve">SR 11-7</t>
  </si>
  <si>
    <t xml:space="preserve">Validation involves a degree of independence from model development and use. Generally, validation should be done by people who are not responsible for development or use and do not have a stake in whether a model is determined to be valid. Independence is not an end in itself but rather helps ensure that incentives are aligned with the goals of model validation. While independence may be supported by separation of reporting lines, it should be judged by actions and outcomes, since there may be additional ways to ensure objectivity and prevent bias. As a practical matter, some validation work may be most effectively done by model developers and users; it is essential, however, that such validation work be subject to critical review by an independent party, who should conduct additional activities to ensure proper validation. Overall, the quality of the process is judged by the manner in which models are subject to critical review. This could be determined by evaluating the extent and clarity of documentation, the issues identified by objective parties, and the actions taken by management to address model issues.</t>
  </si>
  <si>
    <t xml:space="preserve">In addition to independence, banks can support appropriate incentives in validation through compensation practices and performance evaluation standards that are tied directly to the quality of model validations and the degree of critical, unbiased review. In addition, corporate culture plays a role if it establishes support for objective thinking and encourages questioning and challenging of decisions.</t>
  </si>
  <si>
    <t xml:space="preserve">IFRS 9 (credit risk extract)</t>
  </si>
  <si>
    <t xml:space="preserve">In some cases a financial asset is considered credit-impaired at initial recognition because the credit risk is very high, and in the case of a purchase it is acquired at a deep discount. An entity is required to include the initial expected credit losses in the estimated cash flows when calculating the creditadjusted effective interest rate for financial assets that are considered to be purchased or originated credit-impaired at initial recognition. However, this does not mean that a credit-adjusted effective interest rate should be applied solely because the financial asset has high credit risk at initial recognition. B5.4.7</t>
  </si>
  <si>
    <t xml:space="preserve">Impairment (Section 5.5)</t>
  </si>
  <si>
    <t xml:space="preserve">If, at the date of initial application, determining whether there has been a significant increase in credit risk since initial recognition would require undue cost or effort, an entity shall recognise a loss allowance at an amount equal to lifetime expected credit losses at each reporting date until that financial instrument is derecognised (unless that financial instrument is low credit risk at a reporting date, in which case paragraph 7.2.19(a) applies). 7.2.20</t>
  </si>
  <si>
    <t xml:space="preserve">Modifications</t>
  </si>
  <si>
    <t xml:space="preserve">Accordingly the date of the modification shall be treated as the date of initial recognition of that financial asset when applying the impairment requirements to the modified financial asset. This typically means measuring the loss allowance at an amount equal to 12-month expected credit losses until the requirements for the recognition of lifetime expected credit losses in paragraph 5.5.3 are met. However, in some unusual circumstances following a modification that results in derecognition of the original financial asset, there may be evidence that the modified financial asset is credit-impaired at initial recognition, and thus, the financial asset should be recognised as an originated credit-impaired financial asset. This might occur, for example, in a situation in which there was a substantial modification of a distressed asset that resulted in the derecognition of the original financial asset. In such a case, it may be possible for the modification to result in a new financial asset which is credit-impaired at initial recognition. B5.5.26</t>
  </si>
  <si>
    <t xml:space="preserve">When determining whether the recognition of lifetime expected credit losses is required, an entity shall consider reasonable and supportable information that is available without undue cost or effort and that may affect the credit risk on a financial instrument in accordance with paragraph 5.5.17(c). An entity need not undertake an exhaustive search for information when determining whether credit risk has increased significantly since initial recognition. B5.5.15</t>
  </si>
  <si>
    <t xml:space="preserve">S5</t>
  </si>
  <si>
    <t xml:space="preserve">Purchased or originated credit-impaired financial assets</t>
  </si>
  <si>
    <t xml:space="preserve">Despite paragraphs 5.5.3 and 5.5.5, at the reporting date, an entity shall only recognise the cumulative changes in lifetime expected credit losses since initial recognition as a loss allowance for purchased or originated credit-impaired financial assets. At each reporting date, an entity shall recognise in profit or loss the amount of the change in lifetime expected credit losses as an impairment gain or loss. An entity shall recognise favourable changes in lifetime expected credit losses as an impairment gain, even if the lifetime expected credit losses are less than the amount of expected credit losses that were included in the estimated cash 5.5.13 5.5.14 flows on initial recognition.</t>
  </si>
  <si>
    <t xml:space="preserve">1.2 This SS is relevant to all regulated United Kingdom (UK)-incorporated banks, building societies and PRA-designated investment firms with internal model approval to calculate regulatory capital requirements. 2 The expectations in this SS do not apply to firms which do not have permission to use internal models to calculate regulatory capital and third-country firms operating in the UK through a branch. However, the PRA considers that those firms may find the proposed principles useful, and are welcome to consider them to manage model risk within their firm. Credit unions, insurers, and reinsurers are not in scope of the MRM expectations in this supervisory statement.</t>
  </si>
  <si>
    <t xml:space="preserve">1.3</t>
  </si>
  <si>
    <t xml:space="preserve">1.3 In the rest of this SS, 'firms' means UK banks, building societies and PRA-designated investment firms with internal model approval. The purpose of this SS is to support firms to strengthen their policies, procedures, and practices to identify, manage, and control the risks associated with the use of all models, developed in-house or externally, including vendor models, 3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including attestations and self-assessments where applicable.</t>
  </si>
  <si>
    <t xml:space="preserve">d) The validation function should operate independently from the model development process and from model owners. Firms that have approval to use internal models for the purposes of calculating their capital requirements are expected to demonstrate independence through separate reporting lines for model validators and model developers and owners, applicable across the MRM framework.</t>
  </si>
  <si>
    <t xml:space="preserve">2026 Stress Test Scenarios</t>
  </si>
  <si>
    <t xml:space="preserve">Preface</t>
  </si>
  <si>
    <t xml:space="preserve">As part of its supervision efforts and as required by the Dodd Frank Act, the Federal Reserve annually conducts a stress test. 1 The stress test assesses how large banks are likely to perform under hypothetical economic conditions. 2</t>
  </si>
  <si>
    <t xml:space="preserve">2026 DFAST Results</t>
  </si>
  <si>
    <t xml:space="preserve">As part of its supervision efforts and as required by the Dodd-Frank Act, the Federal Reserve annually conducts a stress test. 1 The stress test assesses how large banks are likely to perform under hypothetical economic conditions. 2</t>
  </si>
  <si>
    <t xml:space="preserve">12 CFR Part 252</t>
  </si>
  <si>
    <t xml:space="preserve">(a) The Federal Reserve does not make firm-specific overlays to model results used in the supervisory stress test. This policy ensures that the supervisory stress test results are determined solely by the industry-level supervisory models and by firm-specific input data. The Federal Reserve has instituted a policy of not using additional input data submitted by one or some of the covered companies unless comparable data can be collected from all the firms that have material exposure in a given area. Input data necessary to produce supervisory stress test estimates is collected via the FR Y-14 information collection. The Federal Reserve may request additional information from covered companies, but otherwise will not incorporate additional information provided as part of a firm's CCAR submission or obtained through other channels into stress test projections.</t>
  </si>
  <si>
    <t xml:space="preserve">Participating Banks</t>
  </si>
  <si>
    <t xml:space="preserve">12 See Board of Governors of the Federal Reserve System, 'Federal Reserve Board Finalizes Hypothetical Scenarios for Its Annual Stress Test and Votes to Maintain the Current Stress Test-related Capital Requirements until Public Feedback Can Be Considered,' press release, February 4, 2026, https://www.federalreserve.gov/newsevents/pressreleases/ bcreg20260204a.htm.</t>
  </si>
  <si>
    <t xml:space="preserve">Executive Summary</t>
  </si>
  <si>
    <t xml:space="preserve">The Federal Reserve's supervisory stress tests help ensure that large banks are able to lend to households and businesses even in a severe recession. The stress tests evaluate the financial resilience of large banks by estimating bank losses, revenues, expenses, and resulting capital levels-which provide a cushion against losses-under hypothetical recession scenarios into the future. 5 The Federal Reserve uses the results of a stress test, in part, to set large bank capital requirements.</t>
  </si>
  <si>
    <t xml:space="preserve">SR 15-18</t>
  </si>
  <si>
    <t xml:space="preserve">The Federal Reserve has elevated expectations for a firm subject to Category I standards regarding its use of models in loss and revenue estimation. As noted above, a firm subject to Category I standards is generally expected to use quantitative approaches in estimating losses and PPNR, whereas a firm subject to Category II or III standards may use either quantitative or qualitative approaches. In addition, firms subject to Category I standards are expected to project losses and PPNR at a greater level of granularity and are held to higher expectations regarding their estimations in other areas, including with respect to setting reserves, modeling operational risk, and identifying key risk drivers.</t>
  </si>
  <si>
    <t xml:space="preserve">SR 15-19</t>
  </si>
  <si>
    <t xml:space="preserve">The Federal Reserve has elevated expectations for a firm subject to Category I standards regarding its use of models in loss and revenue estimation. As noted above, a firm subject to Category I standards is generally expected to use quantitative approaches in estimating losses and PPNR, whereas a firm subject to Category II or III standards may use either quantitative or qualitative approaches. In addition, a firm subject to Category I standards is expected to project losses and PPNR at a greater level of granularity and is held to higher expectations regarding</t>
  </si>
  <si>
    <t xml:space="preserve">Organisational structures, validation, and control functions</t>
  </si>
  <si>
    <t xml:space="preserve">i. The model owner is the individual accountable for a model's development, implementation and use, and ensures that a model's performance is within expectation. The model owner could also be the model developer or user.</t>
  </si>
  <si>
    <t xml:space="preserve">SR 26-2</t>
  </si>
  <si>
    <t xml:space="preserve">For the purposes of this guidance, the term 'model' refers to a complex quantitative method, system, or approach that applies statistical, economic, or financial theories to process input data into quantitative estimates. The term 'model' in this guidance excludes simple arithmetic calculations, such as those found within spreadsheets, as well as deterministic rulebased processes and software where there are no statistical, economic, or financial theories underpinning their design or use. 3</t>
  </si>
  <si>
    <t xml:space="preserve">2.4 For the purposes of the expectations contained within this SS, a model is defined as a quantitative method that applies statistical, economic, financial, or mathematical theories, techniques, and assumptions to process input data into output. Input data can be quantitative and/or qualitative in nature or expert judgement-based and the output can be quantitative or qualitative. A working definition of a model is important as it brings consistency and clarity for firms implementing MRM frameworks.</t>
  </si>
  <si>
    <t xml:space="preserve">All components of the model lifecycle benefit from model governance that is supported by clear policies and effective controls. Effective policies define risk management expectations and establish a framework for assessing the magnitude of model risk and for applying model risk management practices commensurate with that risk. Procedures support policy implementation by establishing a monitoring and control process and specifying the allocation of resources to that process. The nature and sophistication of a banking organization's model governance is typically informed by the extent and sophistication of model usage as well as the size and complexity of the organization.</t>
  </si>
  <si>
    <t xml:space="preserve">I. INTRODUCTION</t>
  </si>
  <si>
    <t xml:space="preserve">This guidance highlights sound principles for effective model risk management. As reflected in this guidance, model risk management practices vary from banking organization to banking organization. Each banking organization ultimately is responsible for adopting model</t>
  </si>
  <si>
    <t xml:space="preserve">Previous guidance and other publications issued by the OCC and the Federal Reserve on the use of models pay particular attention to model validation. [Fotnote 2 Based on supervisory and industry experience over the past several years, this document expands on existing guidance-most importantly by broadening the scope to include all aspects of model risk management. Many banks may already have in place a large portion of these practices, but all banks should ensure that internal policies and procedures are consistent with the risk management principles and supervisory expectations contained in this guidance. Details may vary from bank to bank, as practical application of this guidance should be customized to be commensurate with a bank's risk exposures, its business activities, and the complexity and extent of its model use. For example, steps taken to apply this guidance at a community bank using relatively few models of only moderate complexity might be significantly less involved than those at a larger bank where use of models is more extensive or complex. [Page Break]</t>
  </si>
  <si>
    <t xml:space="preserve">Basel CAP</t>
  </si>
  <si>
    <t xml:space="preserve">CAP10.1</t>
  </si>
  <si>
    <t xml:space="preserve">10.1 Regulatory capital consists of three categories, each governed by a single set of criteria that instruments are required to meet before inclusion in the relevant category.</t>
  </si>
  <si>
    <t xml:space="preserve">(1) Common Equity Tier 1 (going-concern capital)</t>
  </si>
  <si>
    <t xml:space="preserve">(2) Additional Tier 1 (going-concern capital)</t>
  </si>
  <si>
    <t xml:space="preserve">(3) Tier 2 Capital (gone-concern capital)</t>
  </si>
  <si>
    <t xml:space="preserve">10.2 Total regulatory capital is the sum of Common Equity Tier 1, Additional Tier 1 and Tier 2 capital, net of regulatory adjustments described in CAP30. Tier 1 capital is the sum of Common Equity Tier 1 and Additional Tier 1 capital, net of the regulatory adjustments in CAP30 applied to those categories.</t>
  </si>
  <si>
    <t xml:space="preserve">CAP10.3</t>
  </si>
  <si>
    <t xml:space="preserve">10.3 It is critical that banks' risk exposures are backed by a high-quality capital base. To this end, the predominant form of Tier 1 capital must be common shares and retained earnings.</t>
  </si>
  <si>
    <t xml:space="preserve">CAP10.4</t>
  </si>
  <si>
    <t xml:space="preserve">10.4 Throughout CAP10 the term 'bank' is used to mean bank, banking group or other entity (eg holding company) whose capital is being measured.</t>
  </si>
  <si>
    <t xml:space="preserve">CAP10.5</t>
  </si>
  <si>
    <t xml:space="preserve">10.5 A bank must seek prior supervisory approval if it intends to include in capital an instrument which has its dividends paid in anything other than cash or shares.</t>
  </si>
  <si>
    <t xml:space="preserve">Basel RBC</t>
  </si>
  <si>
    <t xml:space="preserve">The limits on distributions set out in the Basel III buffers framework are not intended to operate as set out in interpretations (a) and (b). As stated in RBC30.3, capital buffers are not intended to be viewed as a minimum capital requirement. By design, the constraints imposed on banks with capital levels at the top of the range are minimal and the Committee expects that banks' capital levels will, where necessary, be allowed to fall into the buffer range. The capital conservation ratios set out in RBC30.4 need only take into account the current CET1 ratio of a bank (ie before the next distribution is made). Nonetheless, banks should discuss proposed distributions with their supervisors, who will consider these in the light of banks' capital plans to rebuild buffers over an appropriate timeframe (as anticipated in RBC30.5(4)).</t>
  </si>
  <si>
    <t xml:space="preserve">CAP10.9</t>
  </si>
  <si>
    <t xml:space="preserve">10.9 Additional Tier 1 capital consists of the sum of the following elements:</t>
  </si>
  <si>
    <t xml:space="preserve">(1) instruments issued by the bank that meet the criteria for inclusion in Additional Tier 1 capital (and are not included in Common Equity Tier 1);</t>
  </si>
  <si>
    <t xml:space="preserve">(2) stock surplus (share premium) resulting from the issue of instruments included in Additional Tier 1 capital;</t>
  </si>
  <si>
    <t xml:space="preserve">(3) instruments issued by consolidated subsidiaries of the bank and held by third parties that meet the criteria for inclusion in Additional Tier 1 capital and are not included in Common Equity Tier 1 capital. See CAP10.20 to CAP10.26 for the relevant criteria; and</t>
  </si>
  <si>
    <t xml:space="preserve">(4) regulatory adjustments applied in the calculation of Additional Tier 1 Capital.</t>
  </si>
  <si>
    <t xml:space="preserve">FAQ1 Can subordinated loans be included in regulatory capital?</t>
  </si>
  <si>
    <t xml:space="preserve">Yes. As long as the subordinated loans meet all the criteria required for Additional Tier 1 or Tier 2 capital, banks can include these items in their regulatory capital.</t>
  </si>
  <si>
    <t xml:space="preserve">CAP10.10</t>
  </si>
  <si>
    <t xml:space="preserve">10.10 The treatment of instruments issued out of consolidated subsidiaries of the bank and the regulatory adjustments applied in the calculation of Additional Tier 1 capital are addressed in separate sections.</t>
  </si>
  <si>
    <t xml:space="preserve">CAP10.11</t>
  </si>
  <si>
    <t xml:space="preserve">10.11 The following criteria must be met or exceeded for an instrument issued by the bank to be included in Additional Tier 1 capital.</t>
  </si>
  <si>
    <t xml:space="preserve">(2) Subordinated to depositors, general creditors and subordinated debt of the bank. In the case of an issue by a holding company, the instrument must be subordinated to all general creditors.</t>
  </si>
  <si>
    <t xml:space="preserve">(3) Is neither secured nor covered by a guarantee of the issuer or related entity or other arrangement that legally or economically enhances the seniority of the claim vis-à-vis bank creditors</t>
  </si>
  <si>
    <t xml:space="preserve">(4) Is perpetual, ie there is no maturity date and there are no step-ups or other incentives to redeem</t>
  </si>
  <si>
    <t xml:space="preserve">(5) May be callable at the initiative of the issuer only after a minimum of five years:</t>
  </si>
  <si>
    <t xml:space="preserve">(a) To exercise a call option a bank must receive prior supervisory approval; and</t>
  </si>
  <si>
    <t xml:space="preserve">(b) A bank must not do anything which creates an expectation that the call will be exercised; and</t>
  </si>
  <si>
    <t xml:space="preserve">(c) Banks must not exercise a call unless:</t>
  </si>
  <si>
    <t xml:space="preserve">(i) They replace the called instrument with capital of the same or better quality and the replacement of this capital is done at conditions which are sustainable for the income capacity of the bank; 6 or</t>
  </si>
  <si>
    <t xml:space="preserve">(ii) The bank demonstrates that its capital position is well above the minimum capital requirements after the call option is exercised. 7</t>
  </si>
  <si>
    <t xml:space="preserve">(d) The use of tax event and regulatory event calls are permitted within the first five years of a capital instrument, but supervisors will only permit the bank to exercise such a call if in their view the bank was not in a position to anticipate the event at issuance.</t>
  </si>
  <si>
    <t xml:space="preserve">(6) Any repayment of principal (eg through repurchase or redemption) must be with prior supervisory approval and banks should not assume or create market expectations that supervisory approval will be given.</t>
  </si>
  <si>
    <t xml:space="preserve">(a) the bank must have full discretion at all times to cancel distributions/payments 8</t>
  </si>
  <si>
    <t xml:space="preserve">(b) cancellation of discretionary payments must not be an event of default</t>
  </si>
  <si>
    <t xml:space="preserve">(c) banks must have full access to cancelled payments to meet obligations as they fall due</t>
  </si>
  <si>
    <t xml:space="preserve">(d) cancellation of distributions/payments must not impose restrictions on the bank except in relation to distributions to common stockholders.</t>
  </si>
  <si>
    <t xml:space="preserve">(8) Dividends/coupons must be paid out of distributable items. 9</t>
  </si>
  <si>
    <t xml:space="preserve">(9) The instrument cannot have a credit-sensitive dividend feature, that is a dividend/ coupon that is reset periodically based in whole or in part on the banking organisation's credit standing.</t>
  </si>
  <si>
    <t xml:space="preserve">(10) The instrument cannot contribute to liabilities exceeding assets if such a balance sheet test forms part of national insolvency law.</t>
  </si>
  <si>
    <t xml:space="preserve">(11) Instruments classified as liabilities for accounting purposes must have a principal loss-absorption mechanism. This must generate Common Equity Tier 1 under the relevant accounting standards and the instrument will only receive recognition in Additional Tier 1 up to the minimum level of Common Equity Tier 1 generated by the loss-absorption mechanism. The mechanism must operate through either:</t>
  </si>
  <si>
    <t xml:space="preserve">(a) conversion to common shares at an objective pre-specified trigger point of at least</t>
  </si>
  <si>
    <t xml:space="preserve">(b) a writedown mechanism which allocates losses to the instrument at a prespecified trigger point of at least 5.125% Common Equity Tier 1. The writedown will have the following effects:</t>
  </si>
  <si>
    <t xml:space="preserve">(i) Reduce the claim of the instrument in liquidation;</t>
  </si>
  <si>
    <t xml:space="preserve">(ii) Reduce the amount repaid when a call is exercised; and</t>
  </si>
  <si>
    <t xml:space="preserve">(iii) Partially or fully reduce coupon/dividend payments on the instrument.</t>
  </si>
  <si>
    <t xml:space="preserve">(12) The aggregate amount to be written down/converted for all instruments classified as liabilities for accounting purposes on breaching the trigger level must be at least the amount needed to immediately return the bank's Common Equity Tier 1 ratio to the trigger level or, if this is not possible, the full principal value of the instruments.</t>
  </si>
  <si>
    <t xml:space="preserve">(13) Neither the bank nor a related party over which the bank exercises control or significant influence can have purchased the instrument, nor can the bank directly or indirectly fund the instrument or the purchase of the instrument.</t>
  </si>
  <si>
    <t xml:space="preserve">(14) The instrument cannot have any features that hinder recapitalisation, such as provisions that require the issuer to compensate investors if a new instrument is issued at a lower price during a specified time frame.</t>
  </si>
  <si>
    <t xml:space="preserve">(15) If the instrument is not issued out of an operating entity or the holding company in the consolidated group (eg a special purpose vehicle - "SPV"), proceeds must be immediately available without limitation to a single operating entity 10 or the holding company in the consolidated group in a form which meets or exceeds all of the other criteria for inclusion in Additional Tier 1 capital.</t>
  </si>
  <si>
    <t xml:space="preserve">1 In addition, a Common Equity Tier 1 capital conservation buffer is set at 2.5% of RWA for all banks. Banks may also be subject to a countercyclical capital buffer or higher loss absorbency requirements for systemically important banks. These buffers are described in [RBC30] and [RBC40].</t>
  </si>
  <si>
    <t xml:space="preserve">20.2 The components of capital referred to in [RBC20.1] are defined in [CAP10] and must be used net of regulatory adjustments (defined in [CAP30]) and subject to the transitional arrangements in [CAP90]. RWA are defined in [RBC20.3] and [RBC20.4].</t>
  </si>
  <si>
    <t xml:space="preserve">Sound model risk management also involves 'effective challenge,' which refers to the critical analysis conducted by objective experts who evaluate model risk and effect appropriate changes throughout the model lifecycle, from model development to ongoing monitoring. Effective challenge is performed by individuals with the appropriate expertise to conduct a critical and objective challenge, sufficient independence to maintain objectivity, as well as the organizational standing and influence to effect any change.</t>
  </si>
  <si>
    <t xml:space="preserve">12 See SR letter 11-7, 'Supervisory Guidance on Model Risk Management.' The term 'effective challenge' means critical review by objective, informed parties who have the proper incentives, competence, and influence to challenge the model and its results.</t>
  </si>
  <si>
    <t xml:space="preserve">-See SR letter 11-7, 'Supervisory Guidance on Model Risk Management.' The term 'effective challenge' means critical review by objective, informed parties who have the proper incentives, competence, and influence to challenge the model and its results. End of Footnote 14 .]</t>
  </si>
  <si>
    <t xml:space="preserve">1. Process for Applying Overlays</t>
  </si>
  <si>
    <t xml:space="preserve">Model overlays (including those based solely on expert or management judgment) should be subject to validation or some other type of effective challenge. 26 Consistent with the materiality principle in SR 11-7, the intensity of model risk management for overlays should be a function of the materiality of the model and overlay. Effective challenge should occur before the model overlay is formally applied, not on an ex-post basis.</t>
  </si>
  <si>
    <t xml:space="preserve">Model overlays (including those based solely on expert or management judgment) should be subject to validation or some other type of effective challenge. 28 Consistent with the materiality principle in SR 11-7, the intensity of model risk management for overlays should be a function of the materiality of the model and overlay. A firm should make efforts to conduct effective challenge of its material overlays prior to their use in capital planning. If such validation or effective challenge is not possible, those instances should be made transparent to users of the model and overlay.</t>
  </si>
  <si>
    <t xml:space="preserve">(f) existing or forecast adverse changes in business, financial or economic conditions that are expected to cause a significant change in the borrower's ability to meet its debt obligations, such as an actual or expected increase in interest rates or an actual or expected significant increase in unemployment rates.</t>
  </si>
  <si>
    <t xml:space="preserve">When determining whether there has been a significant increase in credit risk since initial recognition, an entity may apply: 7.2.19</t>
  </si>
  <si>
    <t xml:space="preserve">In order to meet the objective of recognising lifetime expected credit losses for significant increases in credit risk since initial recognition, it may be necessary to perform the assessment of significant increases in credit risk on a collective basis by considering information that is indicative of significant increases in credit risk on, for example, a group or sub-group of financial instruments. This is to ensure that an entity meets the objective of recognising lifetime expected credit losses when there are significant increases in credit risk, even B5.5.1</t>
  </si>
  <si>
    <t xml:space="preserve">Timing of recognising lifetime expected credit losses</t>
  </si>
  <si>
    <t xml:space="preserve">The assessment of whether lifetime expected credit losses should be recognised is based on significant increases in the likelihood or risk of a default occurring since initial recognition (irrespective of whether a financial instrument has been repriced to reflect an increase in credit risk) instead of on evidence of a financial asset being credit-impaired at the reporting date or an actual default occurring. Generally, there will be a significant increase in credit risk before a financial asset becomes credit-impaired or an actual default occurs. B5.5.7</t>
  </si>
  <si>
    <t xml:space="preserve">Period over which to estimate expected credit losses</t>
  </si>
  <si>
    <t xml:space="preserve">(b) the length of time for related defaults to occur on similar financial instruments following a significant increase in credit risk; and</t>
  </si>
  <si>
    <t xml:space="preserve">Basel SRP32</t>
  </si>
  <si>
    <t xml:space="preserve">SRP32.6</t>
  </si>
  <si>
    <t xml:space="preserve">32.6 A risk concentration is any single exposure or group of exposures with the potential to produce losses large enough (relative to a bank's capital, total assets, or overall risk level) to threaten a bank's health or ability to maintain its core operations. Risk concentrations are arguably the single most important cause of major problems in banks.</t>
  </si>
  <si>
    <t xml:space="preserve">SRP32.7</t>
  </si>
  <si>
    <t xml:space="preserve">32.7 Risk concentrations can arise in a bank's assets, liabilities, or off-balance sheet items, through the execution or processing of transactions (either product or service), or through a combination of exposures across these broad categories. Because lending is the primary activity of most banks, credit risk concentrations are often the most material risk concentrations within a bank.</t>
  </si>
  <si>
    <t xml:space="preserve">SRP32.8</t>
  </si>
  <si>
    <t xml:space="preserve">32.8 Credit risk concentrations, by their nature, are based on common or correlated risk factors, which, in times of stress, have an adverse effect on the creditworthiness of each of the individual counterparties making up the concentration. Concentration risk arises in both direct exposures to obligors and may also occur through exposures to protection providers. Such concentrations are not addressed in the Pillar 1 capital charge for credit risk.</t>
  </si>
  <si>
    <t xml:space="preserve">SRP32.9</t>
  </si>
  <si>
    <t xml:space="preserve">32.9 Banks should have in place effective internal policies, systems and controls to identify, measure, monitor, and control their credit risk concentrations. Banks should explicitly consider the extent of their credit risk concentrations in their assessment of capital adequacy under Pillar 2. These policies should cover the different forms of credit risk concentrations to which a bank may be exposed. Such concentrations include:</t>
  </si>
  <si>
    <t xml:space="preserve">(1) significant exposures to an individual counterparty or group of related counterparties. In many jurisdictions, supervisors define a limit for exposures of this nature, commonly referred to as a large exposure limit. Banks might also establish an aggregate limit for the management and control of all of its large exposures as a group;</t>
  </si>
  <si>
    <t xml:space="preserve">(2) credit exposures to counterparties in the same economic sector or geographic region;</t>
  </si>
  <si>
    <t xml:space="preserve">(3) credit exposures to counterparties whose financial performance is dependent on the same activity or commodity; and</t>
  </si>
  <si>
    <t xml:space="preserve">(4) indirect credit exposures arising from a bank's CRM activities (eg exposure to a single collateral type or to credit protection provided by a single counterparty).</t>
  </si>
  <si>
    <t xml:space="preserve">SRP32.10</t>
  </si>
  <si>
    <t xml:space="preserve">32.10 A bank's framework for managing credit risk concentrations should be clearly documented and should include a definition of the credit risk concentrations relevant to the bank and how these concentrations and their corresponding limits are calculated. Limits should be defined in relation to a bank's capital, total assets or, where adequate measures exist, its overall risk level.</t>
  </si>
  <si>
    <t xml:space="preserve">SRP32.11</t>
  </si>
  <si>
    <t xml:space="preserve">32.11 A bank's management should conduct periodic stress tests of its major credit risk concentrations and review the results of those tests to identify and respond to potential changes in market conditions that could adversely impact the bank's performance.</t>
  </si>
  <si>
    <t xml:space="preserve">SRP32.12</t>
  </si>
  <si>
    <t xml:space="preserve">32.12 A bank should ensure that, in respect of credit risk concentrations, it complies with the Committee document Principles for the Management of Credit Risk (September 2000) and the more detailed guidance in the Appendix to that paper.</t>
  </si>
  <si>
    <t xml:space="preserve">SRP32.13</t>
  </si>
  <si>
    <t xml:space="preserve">32.13 In the course of their activities, supervisors should assess the extent of a bank's credit risk concentrations, how they are managed, and the extent to which the bank considers them in its internal assessment of capital adequacy under Pillar 2. Such assessments should include reviews of the results of a bank's stress tests. Supervisors should take appropriate actions where the risks arising from a bank's credit risk concentrations are not adequately addressed by the bank.</t>
  </si>
  <si>
    <t xml:space="preserve">SRP32.14</t>
  </si>
  <si>
    <t xml:space="preserve">32.14 As counterparty credit risk (CCR) represents a form of credit risk, this would include meeting this Framework's standards regarding their approaches to stress testing, 'residual risks' associated with credit risk mitigation techniques, and credit concentrations, as specified in the paragraphs above.</t>
  </si>
  <si>
    <t xml:space="preserve">SRP32.15</t>
  </si>
  <si>
    <t xml:space="preserve">32.15 The bank must have counterparty credit risk management policies, processes and systems that are conceptually sound and implemented with integrity relative to the sophistication and complexity of a firm's holdings of exposures that give rise to CCR. A sound counterparty credit risk management framework shall include the identification, measurement, management, approval and internal reporting of CCR.</t>
  </si>
  <si>
    <t xml:space="preserve">SRP32.16</t>
  </si>
  <si>
    <t xml:space="preserve">32.16 The bank's risk management policies must take account of the market, liquidity, legal and operational risks that can be associated with CCR and, to the extent practicable, interrelationships among those risks. The bank must not undertake business with a counterparty without assessing its creditworthiness and must take due account of both settlement and pre-settlement credit risk. These risks must be managed as comprehensively as practicable at the counterparty level (aggregating counterparty exposures with other credit exposures) and at the firm-wide level.</t>
  </si>
  <si>
    <t xml:space="preserve">SRP32.17</t>
  </si>
  <si>
    <t xml:space="preserve">32.17 The board of directors and senior management must be actively involved in the CCR control process and must regard this as an essential aspect of the business to which significant resources need to be devoted. Where the bank is using an internal model for CCR, senior management must be aware of the limitations and assumptions of the model used and the impact these can have on the reliability of the output. They should also consider the uncertainties of the market environment (eg timing of realisation of collateral) and operational issues (eg pricing feed irregularities) and be aware of how these are reflected in the model.</t>
  </si>
  <si>
    <t xml:space="preserve">SRP32.18</t>
  </si>
  <si>
    <t xml:space="preserve">32.18 In this regard, the daily reports prepared on a firm's exposures to CCR must be reviewed by a level of management with sufficient seniority and authority to enforce both reductions of positions taken by individual credit managers or traders and reductions in the firm's overall CCR exposure.</t>
  </si>
  <si>
    <t xml:space="preserve">SRP32.19</t>
  </si>
  <si>
    <t xml:space="preserve">32.19 The bank's CCR management system must be used in conjunction with internal credit and trading limits. In this regard, credit and trading limits must be related to the firm's risk measurement model in a manner that is consistent over time and that is well understood by credit managers, traders and senior management.</t>
  </si>
  <si>
    <t xml:space="preserve">SRP32.20</t>
  </si>
  <si>
    <t xml:space="preserve">32.20 The measurement of CCR must include monitoring daily and intra-day usage of credit lines. The bank must measure current exposure gross and net of collateral held where such measures are appropriate and meaningful (eg over-the-counter, or OTC, derivatives,</t>
  </si>
  <si>
    <t xml:space="preserve">margin lending). Measuring and monitoring peak exposure or potential future exposure at a confidence level chosen by the bank at both the portfolio and counterparty levels is one element of a robust limit monitoring system. Banks must take account of large or concentrated positions, including concentrations by groups of related counterparties, by industry, by market, customer investment strategies, etc.</t>
  </si>
  <si>
    <t xml:space="preserve">32.21 The bank must have a routine and rigorous program of stress testing in place as a supplement to the CCR analysis based on the day-to-day output of the firm's risk measurement model. The results of this stress testing must be reviewed periodically by senior management and must be reflected in the CCR policies and limits set by management and the board of directors. Where stress tests reveal particular vulnerability to a given set of circumstances, management should explicitly consider appropriate risk management strategies (eg by hedging against that outcome, or reducing the size of the firm's exposures).</t>
  </si>
  <si>
    <t xml:space="preserve">SRP32.22</t>
  </si>
  <si>
    <t xml:space="preserve">32.22 The bank must have a routine in place for ensuring compliance with a documented set of internal policies, controls and procedures concerning the operation of the CCR management system. The firm's CCR management system must be well documented, for example, through a risk management manual that describes the basic principles of the risk management system and that provides an explanation of the empirical techniques used to measure CCR.</t>
  </si>
  <si>
    <t xml:space="preserve">SRP32.23</t>
  </si>
  <si>
    <t xml:space="preserve">32.23 The bank must conduct an independent review of the CCR management system regularly through its own internal auditing process. This review must include both the activities of the business credit and trading units and of the independent CCR control unit. A review of the overall CCR management process must take place at regular intervals (ideally not less than once a year) and must specifically address, at a minimum:</t>
  </si>
  <si>
    <t xml:space="preserve">(1) the adequacy of the documentation of the CCR management system and process;</t>
  </si>
  <si>
    <t xml:space="preserve">(2) the organisation of the collateral management unit;</t>
  </si>
  <si>
    <t xml:space="preserve">(3) the organisation of the CCR control unit;</t>
  </si>
  <si>
    <t xml:space="preserve">(4) the integration of CCR measures into daily risk management;</t>
  </si>
  <si>
    <t xml:space="preserve">(5) the approval process for risk pricing models and valuation systems used by front and back-office personnel;</t>
  </si>
  <si>
    <t xml:space="preserve">(6) the validation of any significant change in the CCR measurement process;</t>
  </si>
  <si>
    <t xml:space="preserve">(7) the scope of counterparty credit risks captured by the risk measurement model;</t>
  </si>
  <si>
    <t xml:space="preserve">(8) the integrity of the management information system;</t>
  </si>
  <si>
    <t xml:space="preserve">(9) the accuracy and completeness of CCR data;</t>
  </si>
  <si>
    <t xml:space="preserve">(10) the accurate reflection of legal terms in collateral and netting agreements into exposure measurements;</t>
  </si>
  <si>
    <t xml:space="preserve">(11) the verification of the consistency, timeliness and reliability of data sources used to run internal models, including the independence of such data sources;</t>
  </si>
  <si>
    <t xml:space="preserve">(12) the accuracy and appropriateness of volatility and correlation assumptions;</t>
  </si>
  <si>
    <t xml:space="preserve">(13) the accuracy of valuation and risk transformation calculations; and</t>
  </si>
  <si>
    <t xml:space="preserve">(14) the verification of the model's accuracy through frequent backtesting.</t>
  </si>
  <si>
    <t xml:space="preserve">SRP32.24</t>
  </si>
  <si>
    <t xml:space="preserve">32.24 A bank that receives approval to use an internal model to estimate its exposure amount or EAD for CCR exposures must monitor the appropriate risks and have processes to adjust its estimation of expected positive exposure (EPE) when those risks become significant.</t>
  </si>
  <si>
    <t xml:space="preserve">(1) Banks must identify and manage their exposures to specific wrong-way risk.</t>
  </si>
  <si>
    <t xml:space="preserve">(2) potential delinquencies and losses on the underlying securitised exposures;</t>
  </si>
  <si>
    <t xml:space="preserve">(3) exposures from credit lines or liquidity facilities to special purpose entities; and</t>
  </si>
  <si>
    <t xml:space="preserve">(4) exposures from guarantees provided by monolines and other third parties.</t>
  </si>
  <si>
    <t xml:space="preserve">SRP32.30</t>
  </si>
  <si>
    <t xml:space="preserve">32.30 Securitisation exposures should be included in the bank's management information systems (MIS) to help ensure that senior management understands the implications of</t>
  </si>
  <si>
    <t xml:space="preserve">such exposures for liquidity, earnings, risk concentration and capital. More specifically, a bank should have the necessary processes in place to capture in a timely manner updated information on securitisation transactions including market data, if available, and updated performance data from the securitisation trustee or servicer.</t>
  </si>
  <si>
    <t xml:space="preserve">SRP32.31</t>
  </si>
  <si>
    <t xml:space="preserve">32.31 A bank should conduct analyses of the underlying risks when investing in the structured products and must not solely rely on the external credit ratings assigned to securitisation exposures by the credit rating agencies. A bank should be aware that external ratings are a useful starting point for credit analysis, but are no substitute for full and proper understanding of the underlying risk, especially where ratings for certain asset classes have a short history or have been shown to be volatile. Moreover, a bank also should conduct credit analysis of the securitisation exposure at acquisition and on an ongoing basis. It should also have in place the necessary quantitative tools, valuation models and stress tests of sufficient sophistication to reliably assess all relevant risks.</t>
  </si>
  <si>
    <t xml:space="preserve">SRP32.32</t>
  </si>
  <si>
    <t xml:space="preserve">32.32 When assessing securitisation exposures, a bank should ensure that it fully understands the credit quality and risk characteristics of the underlying exposures in structured credit transactions, including any risk concentrations. In addition, a bank should review the maturity of the exposures underlying structured credit transactions relative to the issued liabilities in order to assess potential maturity mismatches.</t>
  </si>
  <si>
    <t xml:space="preserve">SRP32.33</t>
  </si>
  <si>
    <t xml:space="preserve">32.33 A bank should track credit risk in securitisation exposures at the transaction level and across securitisations exposures within each business line and across business lines. It should produce reliable measures of aggregate risk. A bank also should track all meaningful concentrations in securitisation exposures, such as name, product or sector concentrations, and feed this information to firm-wide risk aggregation systems that track, for example, credit exposure to a particular obligor.</t>
  </si>
  <si>
    <t xml:space="preserve">SRP32.34</t>
  </si>
  <si>
    <t xml:space="preserve">32.34 A bank's own assessment of risk needs to be based on a comprehensive understanding of the structure of the securitisation transaction. It should identify the various types of triggers, credit events and other legal provisions that may affect the performance of its onand off-balance sheet exposures and integrate these triggers and provisions into its funding/liquidity, credit and balance sheet management. The impact of the events or triggers on a bank's liquidity and capital position should also be considered.</t>
  </si>
  <si>
    <t xml:space="preserve">SRP32.35</t>
  </si>
  <si>
    <t xml:space="preserve">32.35 A bank should consider and, where appropriate, mark-to-market warehoused positions, as well as those in the pipeline, regardless of the probability of securitising the exposures. It should consider scenarios which may prevent it from securitising its assets as part of its stress testing (as discussed in SRP30) and identify the potential effect of such exposures on its liquidity, earnings and capital adequacy.</t>
  </si>
  <si>
    <t xml:space="preserve">SRP32.36</t>
  </si>
  <si>
    <t xml:space="preserve">32.36 A bank should develop prudent contingency plans specifying how it would respond to funding, capital and other pressures that arise when access to securitisation markets is reduced. The contingency plans should also address how the bank would address valuation challenges for potentially illiquid positions held for sale or for trading. The risk measures, stress testing results and contingency plans should be incorporated into the bank's risk management processes and its ICAAP, and should result in an appropriate level of capital under Pillar 2 in excess of the minimum requirements.</t>
  </si>
  <si>
    <t xml:space="preserve">SRP32.37</t>
  </si>
  <si>
    <t xml:space="preserve">32.37 A bank that employs risk mitigation techniques should fully understand the risks to be mitigated, the potential effects of that mitigation and whether or not the mitigation is fully effective. This is to help ensure that the bank does not understate the true risk in its assessment of capital. In particular, it should consider whether it would provide support to</t>
  </si>
  <si>
    <t xml:space="preserve">the securitisation structures in stressed scenarios due to the reliance on securitisation as a funding tool.</t>
  </si>
  <si>
    <t xml:space="preserve">SRP32.38</t>
  </si>
  <si>
    <t xml:space="preserve">32.38 Further to the Pillar 1 principle that banks should take account of the economic substance of transactions in their determination of capital adequacy, supervisory authorities will monitor, as appropriate, whether banks have done so adequately. As a result, regulatory capital treatments for specific securitisation exposures might differ from those specified in Pillar 1 of the Framework, particularly in instances where the general capital requirement would not adequately and sufficiently reflect the risks to which an individual banking organisation is exposed.</t>
  </si>
  <si>
    <t xml:space="preserve">SRP32.39</t>
  </si>
  <si>
    <t xml:space="preserve">32.39 Amongst other things, supervisory authorities may review where relevant a bank's own assessment of its capital needs and how that has been reflected in the capital calculation as well as the documentation of certain transactions to determine whether the capital requirements accord with the risk profile (eg substitution clauses). Supervisors will also review the manner in which banks have addressed the issue of maturity mismatch in relation to retained positions in their economic capital calculations. In particular, they will be vigilant in monitoring for the structuring of maturity mismatches in transactions to artificially reduce capital requirements. Additionally, supervisors may review the bank's economic capital assessment of actual correlation between assets in the pool and how they have reflected that in the calculation. Where supervisors consider that a bank's approach is not adequate, they will take appropriate action. Such action might include denying or reducing capital relief in the case of originated assets, or increasing the capital required against securitisation exposures acquired.</t>
  </si>
  <si>
    <t xml:space="preserve">Stress tests under the internal ratings-based approaches</t>
  </si>
  <si>
    <t xml:space="preserve">32.1 A bank should ensure that it has sufficient capital to meet the Pillar 1 requirements and the results (where a deficiency has been indicated) of the credit risk stress test performed as part of the Pillar 1 internal ratings-based (IRB) minimum requirements CRE36.50 to CRE36.53. Supervisors may wish to review how the stress test has been carried out. The results of the stress test will thus contribute directly to the expectation that a bank will operate above the Pillar 1 minimum regulatory capital ratios. Supervisors will consider whether a bank has sufficient capital for these purposes. To the extent that there is a shortfall, the supervisor will react appropriately. This will usually involve requiring the bank to reduce its risks and/or to hold additional capital/provisions, so that existing capital resources could cover the Pillar 1 requirements plus the result of a recalculated stress test.</t>
  </si>
  <si>
    <t xml:space="preserve">Grey rows with a bold locator are the paragraph that was cited for that question and label.</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</si>
</sst>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0"/>
      <name val="Arial"/>
      <family val="0"/>
      <charset val="1"/>
    </font>
    <font>
      <b val="true"/>
      <sz val="10"/>
      <color rgb="FFFFFFFF"/>
      <name val="Arial"/>
      <family val="0"/>
      <charset val="1"/>
    </font>
    <font>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C7CE"/>
        <bgColor rgb="FFCCCCFF"/>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FC7CE"/>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4" min="3" style="0" width="10"/>
    <col collapsed="false" customWidth="true" hidden="false" outlineLevel="0" max="6" min="5" style="0" width="12"/>
    <col collapsed="false" customWidth="true" hidden="false" outlineLevel="0" max="7" min="7" style="0" width="14"/>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4" t="s">
        <v>5</v>
      </c>
      <c r="C6" s="4" t="s">
        <v>6</v>
      </c>
      <c r="D6" s="4" t="s">
        <v>7</v>
      </c>
      <c r="E6" s="4" t="s">
        <v>8</v>
      </c>
    </row>
    <row r="7" customFormat="false" ht="15" hidden="false" customHeight="false" outlineLevel="0" collapsed="false">
      <c r="A7" s="5" t="s">
        <v>9</v>
      </c>
      <c r="B7" s="6" t="s">
        <v>10</v>
      </c>
      <c r="C7" s="6" t="n">
        <v>104</v>
      </c>
      <c r="D7" s="6" t="n">
        <v>104</v>
      </c>
      <c r="E7" s="7" t="n">
        <f aca="false">IF(D7=0,"",C7/D7)</f>
        <v>1</v>
      </c>
    </row>
    <row r="8" customFormat="false" ht="15" hidden="false" customHeight="false" outlineLevel="0" collapsed="false">
      <c r="A8" s="5" t="s">
        <v>11</v>
      </c>
      <c r="B8" s="6" t="s">
        <v>12</v>
      </c>
      <c r="C8" s="6" t="n">
        <v>104</v>
      </c>
      <c r="D8" s="6" t="n">
        <v>104</v>
      </c>
      <c r="E8" s="7" t="n">
        <f aca="false">IF(D8=0,"",C8/D8)</f>
        <v>1</v>
      </c>
    </row>
    <row r="9" customFormat="false" ht="15" hidden="false" customHeight="false" outlineLevel="0" collapsed="false">
      <c r="A9" s="5" t="s">
        <v>13</v>
      </c>
      <c r="B9" s="6" t="s">
        <v>14</v>
      </c>
      <c r="C9" s="6" t="n">
        <v>103</v>
      </c>
      <c r="D9" s="6" t="n">
        <v>104</v>
      </c>
      <c r="E9" s="7" t="n">
        <f aca="false">IF(D9=0,"",C9/D9)</f>
        <v>0.990384615384615</v>
      </c>
    </row>
    <row r="11" customFormat="false" ht="15" hidden="false" customHeight="false" outlineLevel="0" collapsed="false">
      <c r="A11" s="8" t="s">
        <v>15</v>
      </c>
      <c r="C11" s="8" t="n">
        <v>0</v>
      </c>
    </row>
    <row r="12" customFormat="false" ht="15" hidden="false" customHeight="false" outlineLevel="0" collapsed="false">
      <c r="A12" s="8" t="s">
        <v>16</v>
      </c>
      <c r="C12" s="8" t="n">
        <v>0</v>
      </c>
    </row>
    <row r="14" customFormat="false" ht="15" hidden="false" customHeight="false" outlineLevel="0" collapsed="false">
      <c r="A14" s="3" t="s">
        <v>17</v>
      </c>
    </row>
    <row r="15" customFormat="false" ht="15" hidden="false" customHeight="false" outlineLevel="0" collapsed="false">
      <c r="A15" s="4" t="s">
        <v>18</v>
      </c>
      <c r="B15" s="4" t="s">
        <v>19</v>
      </c>
      <c r="C15" s="4" t="s">
        <v>20</v>
      </c>
      <c r="D15" s="4" t="s">
        <v>21</v>
      </c>
      <c r="E15" s="4" t="s">
        <v>22</v>
      </c>
      <c r="F15" s="4" t="s">
        <v>23</v>
      </c>
      <c r="G15" s="4" t="s">
        <v>24</v>
      </c>
    </row>
    <row r="16" customFormat="false" ht="15" hidden="false" customHeight="false" outlineLevel="0" collapsed="false">
      <c r="A16" s="9" t="s">
        <v>25</v>
      </c>
      <c r="B16" s="9" t="n">
        <v>16</v>
      </c>
      <c r="C16" s="9" t="n">
        <v>16</v>
      </c>
      <c r="D16" s="9" t="n">
        <v>16</v>
      </c>
      <c r="E16" s="9" t="n">
        <v>16</v>
      </c>
      <c r="F16" s="9" t="n">
        <v>16</v>
      </c>
      <c r="G16" s="10" t="n">
        <f aca="false">IF(F16=0,"",E16/F16)</f>
        <v>1</v>
      </c>
    </row>
    <row r="17" customFormat="false" ht="15" hidden="false" customHeight="false" outlineLevel="0" collapsed="false">
      <c r="A17" s="9" t="s">
        <v>26</v>
      </c>
      <c r="B17" s="9" t="n">
        <v>2</v>
      </c>
      <c r="C17" s="9" t="n">
        <v>2</v>
      </c>
      <c r="D17" s="9" t="n">
        <v>2</v>
      </c>
      <c r="E17" s="9" t="n">
        <v>2</v>
      </c>
      <c r="F17" s="9" t="n">
        <v>2</v>
      </c>
      <c r="G17" s="10" t="n">
        <f aca="false">IF(F17=0,"",E17/F17)</f>
        <v>1</v>
      </c>
    </row>
    <row r="18" customFormat="false" ht="15" hidden="false" customHeight="false" outlineLevel="0" collapsed="false">
      <c r="A18" s="9" t="s">
        <v>27</v>
      </c>
      <c r="B18" s="9" t="n">
        <v>22</v>
      </c>
      <c r="C18" s="9" t="n">
        <v>22</v>
      </c>
      <c r="D18" s="9" t="n">
        <v>22</v>
      </c>
      <c r="E18" s="9" t="n">
        <v>22</v>
      </c>
      <c r="F18" s="9" t="n">
        <v>22</v>
      </c>
      <c r="G18" s="10" t="n">
        <f aca="false">IF(F18=0,"",E18/F18)</f>
        <v>1</v>
      </c>
    </row>
    <row r="19" customFormat="false" ht="15" hidden="false" customHeight="false" outlineLevel="0" collapsed="false">
      <c r="A19" s="9" t="s">
        <v>28</v>
      </c>
      <c r="B19" s="9" t="n">
        <v>56</v>
      </c>
      <c r="C19" s="9" t="n">
        <v>56</v>
      </c>
      <c r="D19" s="9" t="n">
        <v>56</v>
      </c>
      <c r="E19" s="9" t="n">
        <v>55</v>
      </c>
      <c r="F19" s="9" t="n">
        <v>56</v>
      </c>
      <c r="G19" s="10" t="n">
        <f aca="false">IF(F19=0,"",E19/F19)</f>
        <v>0.982142857142857</v>
      </c>
    </row>
    <row r="20" customFormat="false" ht="15" hidden="false" customHeight="false" outlineLevel="0" collapsed="false">
      <c r="A20" s="9" t="s">
        <v>29</v>
      </c>
      <c r="B20" s="9" t="n">
        <v>8</v>
      </c>
      <c r="C20" s="9" t="n">
        <v>8</v>
      </c>
      <c r="D20" s="9" t="n">
        <v>8</v>
      </c>
      <c r="E20" s="9" t="n">
        <v>8</v>
      </c>
      <c r="F20" s="9" t="n">
        <v>8</v>
      </c>
      <c r="G20" s="10" t="n">
        <f aca="false">IF(F20=0,"",E20/F20)</f>
        <v>1</v>
      </c>
    </row>
    <row r="21" customFormat="false" ht="15" hidden="false" customHeight="false" outlineLevel="0" collapsed="false">
      <c r="A21" s="11" t="s">
        <v>30</v>
      </c>
      <c r="B21" s="11" t="n">
        <f aca="false">SUM(B16:B20)</f>
        <v>104</v>
      </c>
      <c r="C21" s="11" t="n">
        <f aca="false">SUM(C16:C20)</f>
        <v>104</v>
      </c>
      <c r="D21" s="11" t="n">
        <f aca="false">SUM(D16:D20)</f>
        <v>104</v>
      </c>
      <c r="E21" s="11" t="n">
        <f aca="false">SUM(E16:E20)</f>
        <v>103</v>
      </c>
      <c r="F21" s="11" t="n">
        <f aca="false">SUM(F16:F20)</f>
        <v>104</v>
      </c>
      <c r="G21" s="12" t="n">
        <f aca="false">IF(F21=0,"",E21/F21)</f>
        <v>0.990384615384615</v>
      </c>
    </row>
    <row r="23" customFormat="false" ht="15" hidden="false" customHeight="false" outlineLevel="0" collapsed="false">
      <c r="A23" s="3" t="s">
        <v>31</v>
      </c>
    </row>
    <row r="24" customFormat="false" ht="15" hidden="false" customHeight="false" outlineLevel="0" collapsed="false">
      <c r="A24" s="8" t="s">
        <v>32</v>
      </c>
      <c r="C24" s="8" t="n">
        <v>15</v>
      </c>
    </row>
    <row r="25" customFormat="false" ht="15" hidden="false" customHeight="false" outlineLevel="0" collapsed="false">
      <c r="A25" s="8" t="s">
        <v>33</v>
      </c>
      <c r="C25" s="8" t="n">
        <v>31</v>
      </c>
    </row>
    <row r="26" customFormat="false" ht="15" hidden="false" customHeight="false" outlineLevel="0" collapsed="false">
      <c r="A26" s="8" t="s">
        <v>34</v>
      </c>
      <c r="C26" s="8" t="n">
        <v>0</v>
      </c>
    </row>
    <row r="28" customFormat="false" ht="15" hidden="false" customHeight="false" outlineLevel="0" collapsed="false">
      <c r="A28" s="3" t="s">
        <v>35</v>
      </c>
    </row>
    <row r="29" customFormat="false" ht="15" hidden="false" customHeight="false" outlineLevel="0" collapsed="false">
      <c r="A29" s="8" t="s">
        <v>36</v>
      </c>
      <c r="C29" s="8" t="n">
        <v>22</v>
      </c>
      <c r="D29" s="2" t="s">
        <v>37</v>
      </c>
    </row>
    <row r="30" customFormat="false" ht="15" hidden="false" customHeight="false" outlineLevel="0" collapsed="false">
      <c r="A30" s="8" t="s">
        <v>38</v>
      </c>
      <c r="C30" s="8" t="n">
        <v>9</v>
      </c>
      <c r="D30" s="2" t="s">
        <v>39</v>
      </c>
    </row>
    <row r="32" customFormat="false" ht="15" hidden="false" customHeight="false" outlineLevel="0" collapsed="false">
      <c r="A32" s="2" t="s">
        <v>40</v>
      </c>
    </row>
    <row r="33" customFormat="false" ht="15" hidden="false" customHeight="false" outlineLevel="0" collapsed="false">
      <c r="A33" s="2" t="s">
        <v>41</v>
      </c>
    </row>
    <row r="34" customFormat="false" ht="15" hidden="false" customHeight="false" outlineLevel="0" collapsed="false">
      <c r="A34" s="2"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8"/>
    <col collapsed="false" customWidth="true" hidden="false" outlineLevel="0" max="4" min="4" style="0" width="22"/>
    <col collapsed="false" customWidth="true" hidden="false" outlineLevel="0" max="5" min="5" style="0" width="11"/>
    <col collapsed="false" customWidth="true" hidden="false" outlineLevel="0" max="6" min="6" style="0" width="14"/>
    <col collapsed="false" customWidth="true" hidden="false" outlineLevel="0" max="7" min="7" style="0" width="9"/>
    <col collapsed="false" customWidth="true" hidden="false" outlineLevel="0" max="8" min="8" style="0" width="80"/>
    <col collapsed="false" customWidth="true" hidden="false" outlineLevel="0" max="9" min="9" style="0" width="40"/>
  </cols>
  <sheetData>
    <row r="1" customFormat="false" ht="15" hidden="false" customHeight="false" outlineLevel="0" collapsed="false">
      <c r="A1" s="4" t="s">
        <v>43</v>
      </c>
      <c r="B1" s="4" t="s">
        <v>18</v>
      </c>
      <c r="C1" s="4" t="s">
        <v>44</v>
      </c>
      <c r="D1" s="4" t="s">
        <v>45</v>
      </c>
      <c r="E1" s="4" t="s">
        <v>46</v>
      </c>
      <c r="F1" s="4" t="s">
        <v>47</v>
      </c>
      <c r="G1" s="4" t="s">
        <v>48</v>
      </c>
      <c r="H1" s="4" t="s">
        <v>49</v>
      </c>
      <c r="I1" s="4" t="s">
        <v>50</v>
      </c>
    </row>
    <row r="2" customFormat="false" ht="23.85" hidden="false" customHeight="false" outlineLevel="0" collapsed="false">
      <c r="A2" s="6" t="s">
        <v>51</v>
      </c>
      <c r="B2" s="6" t="s">
        <v>28</v>
      </c>
      <c r="C2" s="6" t="s">
        <v>52</v>
      </c>
      <c r="D2" s="6" t="s">
        <v>53</v>
      </c>
      <c r="E2" s="6" t="s">
        <v>54</v>
      </c>
      <c r="F2" s="6" t="s">
        <v>36</v>
      </c>
      <c r="G2" s="6" t="n">
        <v>0.867</v>
      </c>
      <c r="H2" s="6" t="s">
        <v>55</v>
      </c>
      <c r="I2" s="6" t="s">
        <v>56</v>
      </c>
    </row>
    <row r="3" customFormat="false" ht="23.85" hidden="false" customHeight="false" outlineLevel="0" collapsed="false">
      <c r="A3" s="6" t="s">
        <v>51</v>
      </c>
      <c r="B3" s="6" t="s">
        <v>28</v>
      </c>
      <c r="C3" s="6" t="s">
        <v>57</v>
      </c>
      <c r="D3" s="6" t="s">
        <v>58</v>
      </c>
      <c r="E3" s="6" t="s">
        <v>54</v>
      </c>
      <c r="F3" s="6" t="s">
        <v>36</v>
      </c>
      <c r="G3" s="6" t="n">
        <v>0.733</v>
      </c>
      <c r="H3" s="6" t="s">
        <v>59</v>
      </c>
      <c r="I3" s="6" t="s">
        <v>60</v>
      </c>
    </row>
    <row r="4" customFormat="false" ht="23.85" hidden="false" customHeight="false" outlineLevel="0" collapsed="false">
      <c r="A4" s="6" t="s">
        <v>61</v>
      </c>
      <c r="B4" s="6" t="s">
        <v>28</v>
      </c>
      <c r="C4" s="6" t="s">
        <v>52</v>
      </c>
      <c r="D4" s="6" t="s">
        <v>62</v>
      </c>
      <c r="E4" s="6" t="s">
        <v>54</v>
      </c>
      <c r="F4" s="6" t="s">
        <v>36</v>
      </c>
      <c r="G4" s="6" t="n">
        <v>0.647</v>
      </c>
      <c r="H4" s="6" t="s">
        <v>63</v>
      </c>
      <c r="I4" s="6" t="s">
        <v>62</v>
      </c>
    </row>
    <row r="5" customFormat="false" ht="35.05" hidden="false" customHeight="false" outlineLevel="0" collapsed="false">
      <c r="A5" s="6" t="s">
        <v>61</v>
      </c>
      <c r="B5" s="6" t="s">
        <v>28</v>
      </c>
      <c r="C5" s="6" t="s">
        <v>52</v>
      </c>
      <c r="D5" s="6" t="s">
        <v>62</v>
      </c>
      <c r="E5" s="6" t="s">
        <v>54</v>
      </c>
      <c r="F5" s="6" t="s">
        <v>36</v>
      </c>
      <c r="G5" s="6" t="n">
        <v>0.238</v>
      </c>
      <c r="H5" s="6" t="s">
        <v>64</v>
      </c>
      <c r="I5" s="6" t="s">
        <v>62</v>
      </c>
    </row>
    <row r="6" customFormat="false" ht="23.85" hidden="false" customHeight="false" outlineLevel="0" collapsed="false">
      <c r="A6" s="6" t="s">
        <v>65</v>
      </c>
      <c r="B6" s="6" t="s">
        <v>28</v>
      </c>
      <c r="C6" s="6" t="s">
        <v>52</v>
      </c>
      <c r="D6" s="6" t="s">
        <v>66</v>
      </c>
      <c r="E6" s="6" t="s">
        <v>54</v>
      </c>
      <c r="F6" s="6" t="s">
        <v>36</v>
      </c>
      <c r="G6" s="6" t="n">
        <v>0.75</v>
      </c>
      <c r="H6" s="6" t="s">
        <v>67</v>
      </c>
      <c r="I6" s="6" t="s">
        <v>66</v>
      </c>
    </row>
    <row r="7" customFormat="false" ht="15" hidden="false" customHeight="false" outlineLevel="0" collapsed="false">
      <c r="A7" s="6" t="s">
        <v>65</v>
      </c>
      <c r="B7" s="6" t="s">
        <v>28</v>
      </c>
      <c r="C7" s="6" t="s">
        <v>52</v>
      </c>
      <c r="D7" s="6" t="s">
        <v>66</v>
      </c>
      <c r="E7" s="6" t="s">
        <v>54</v>
      </c>
      <c r="F7" s="6" t="s">
        <v>36</v>
      </c>
      <c r="G7" s="6" t="n">
        <v>1</v>
      </c>
      <c r="H7" s="6" t="s">
        <v>68</v>
      </c>
      <c r="I7" s="6" t="s">
        <v>66</v>
      </c>
    </row>
    <row r="8" customFormat="false" ht="23.85" hidden="false" customHeight="false" outlineLevel="0" collapsed="false">
      <c r="A8" s="6" t="s">
        <v>65</v>
      </c>
      <c r="B8" s="6" t="s">
        <v>28</v>
      </c>
      <c r="C8" s="6" t="s">
        <v>52</v>
      </c>
      <c r="D8" s="6" t="s">
        <v>66</v>
      </c>
      <c r="E8" s="6" t="s">
        <v>54</v>
      </c>
      <c r="F8" s="6" t="s">
        <v>36</v>
      </c>
      <c r="G8" s="6" t="n">
        <v>1</v>
      </c>
      <c r="H8" s="6" t="s">
        <v>69</v>
      </c>
      <c r="I8" s="6" t="s">
        <v>66</v>
      </c>
    </row>
    <row r="9" customFormat="false" ht="23.85" hidden="false" customHeight="false" outlineLevel="0" collapsed="false">
      <c r="A9" s="6" t="s">
        <v>65</v>
      </c>
      <c r="B9" s="6" t="s">
        <v>28</v>
      </c>
      <c r="C9" s="6" t="s">
        <v>52</v>
      </c>
      <c r="D9" s="6" t="s">
        <v>66</v>
      </c>
      <c r="E9" s="6" t="s">
        <v>54</v>
      </c>
      <c r="F9" s="6" t="s">
        <v>36</v>
      </c>
      <c r="G9" s="6" t="n">
        <v>1</v>
      </c>
      <c r="H9" s="6" t="s">
        <v>70</v>
      </c>
      <c r="I9" s="6" t="s">
        <v>66</v>
      </c>
    </row>
    <row r="10" customFormat="false" ht="23.85" hidden="false" customHeight="false" outlineLevel="0" collapsed="false">
      <c r="A10" s="6" t="s">
        <v>71</v>
      </c>
      <c r="B10" s="6" t="s">
        <v>28</v>
      </c>
      <c r="C10" s="6" t="s">
        <v>52</v>
      </c>
      <c r="D10" s="6" t="s">
        <v>72</v>
      </c>
      <c r="E10" s="6" t="s">
        <v>54</v>
      </c>
      <c r="F10" s="6" t="s">
        <v>38</v>
      </c>
      <c r="G10" s="6" t="n">
        <v>1</v>
      </c>
      <c r="H10" s="6" t="s">
        <v>73</v>
      </c>
      <c r="I10" s="6" t="s">
        <v>72</v>
      </c>
    </row>
    <row r="11" customFormat="false" ht="23.85" hidden="false" customHeight="false" outlineLevel="0" collapsed="false">
      <c r="A11" s="6" t="s">
        <v>71</v>
      </c>
      <c r="B11" s="6" t="s">
        <v>28</v>
      </c>
      <c r="C11" s="6" t="s">
        <v>52</v>
      </c>
      <c r="D11" s="6" t="s">
        <v>72</v>
      </c>
      <c r="E11" s="6" t="s">
        <v>54</v>
      </c>
      <c r="F11" s="6" t="s">
        <v>38</v>
      </c>
      <c r="G11" s="6" t="n">
        <v>1</v>
      </c>
      <c r="H11" s="6" t="s">
        <v>74</v>
      </c>
      <c r="I11" s="6" t="s">
        <v>72</v>
      </c>
    </row>
    <row r="12" customFormat="false" ht="23.85" hidden="false" customHeight="false" outlineLevel="0" collapsed="false">
      <c r="A12" s="6" t="s">
        <v>75</v>
      </c>
      <c r="B12" s="6" t="s">
        <v>28</v>
      </c>
      <c r="C12" s="6" t="s">
        <v>76</v>
      </c>
      <c r="D12" s="6" t="s">
        <v>77</v>
      </c>
      <c r="E12" s="6" t="s">
        <v>54</v>
      </c>
      <c r="F12" s="6" t="s">
        <v>36</v>
      </c>
      <c r="G12" s="6" t="n">
        <v>0.909</v>
      </c>
      <c r="H12" s="6" t="s">
        <v>78</v>
      </c>
      <c r="I12" s="6" t="s">
        <v>77</v>
      </c>
    </row>
    <row r="13" customFormat="false" ht="23.85" hidden="false" customHeight="false" outlineLevel="0" collapsed="false">
      <c r="A13" s="6" t="s">
        <v>75</v>
      </c>
      <c r="B13" s="6" t="s">
        <v>28</v>
      </c>
      <c r="C13" s="6" t="s">
        <v>76</v>
      </c>
      <c r="D13" s="6" t="s">
        <v>77</v>
      </c>
      <c r="E13" s="6" t="s">
        <v>54</v>
      </c>
      <c r="F13" s="6" t="s">
        <v>36</v>
      </c>
      <c r="G13" s="6" t="n">
        <v>0.938</v>
      </c>
      <c r="H13" s="6" t="s">
        <v>79</v>
      </c>
      <c r="I13" s="6" t="s">
        <v>77</v>
      </c>
    </row>
    <row r="14" customFormat="false" ht="46.25" hidden="false" customHeight="false" outlineLevel="0" collapsed="false">
      <c r="A14" s="6" t="s">
        <v>80</v>
      </c>
      <c r="B14" s="6" t="s">
        <v>28</v>
      </c>
      <c r="C14" s="6" t="s">
        <v>52</v>
      </c>
      <c r="D14" s="6" t="s">
        <v>81</v>
      </c>
      <c r="E14" s="6" t="s">
        <v>54</v>
      </c>
      <c r="F14" s="6" t="s">
        <v>38</v>
      </c>
      <c r="G14" s="6" t="n">
        <v>1</v>
      </c>
      <c r="H14" s="6" t="s">
        <v>82</v>
      </c>
      <c r="I14" s="6" t="s">
        <v>81</v>
      </c>
    </row>
    <row r="15" customFormat="false" ht="46.25" hidden="false" customHeight="false" outlineLevel="0" collapsed="false">
      <c r="A15" s="6" t="s">
        <v>80</v>
      </c>
      <c r="B15" s="6" t="s">
        <v>28</v>
      </c>
      <c r="C15" s="6" t="s">
        <v>52</v>
      </c>
      <c r="D15" s="6" t="s">
        <v>81</v>
      </c>
      <c r="E15" s="6" t="s">
        <v>54</v>
      </c>
      <c r="F15" s="6" t="s">
        <v>38</v>
      </c>
      <c r="G15" s="6" t="n">
        <v>1</v>
      </c>
      <c r="H15" s="6" t="s">
        <v>83</v>
      </c>
      <c r="I15" s="6" t="s">
        <v>81</v>
      </c>
    </row>
    <row r="16" customFormat="false" ht="23.85" hidden="false" customHeight="false" outlineLevel="0" collapsed="false">
      <c r="A16" s="6" t="s">
        <v>84</v>
      </c>
      <c r="B16" s="6" t="s">
        <v>25</v>
      </c>
      <c r="C16" s="6" t="s">
        <v>76</v>
      </c>
      <c r="D16" s="6" t="s">
        <v>85</v>
      </c>
      <c r="E16" s="6" t="s">
        <v>54</v>
      </c>
      <c r="F16" s="6" t="s">
        <v>38</v>
      </c>
      <c r="G16" s="6" t="n">
        <v>0.917</v>
      </c>
      <c r="H16" s="6" t="s">
        <v>86</v>
      </c>
      <c r="I16" s="6" t="s">
        <v>85</v>
      </c>
    </row>
    <row r="17" customFormat="false" ht="35.05" hidden="false" customHeight="false" outlineLevel="0" collapsed="false">
      <c r="A17" s="6" t="s">
        <v>84</v>
      </c>
      <c r="B17" s="6" t="s">
        <v>25</v>
      </c>
      <c r="C17" s="6" t="s">
        <v>57</v>
      </c>
      <c r="D17" s="6" t="s">
        <v>87</v>
      </c>
      <c r="E17" s="6" t="s">
        <v>54</v>
      </c>
      <c r="F17" s="6" t="s">
        <v>36</v>
      </c>
      <c r="G17" s="6" t="n">
        <v>0.588</v>
      </c>
      <c r="H17" s="6" t="s">
        <v>88</v>
      </c>
      <c r="I17" s="6" t="s">
        <v>87</v>
      </c>
    </row>
    <row r="18" customFormat="false" ht="35.05" hidden="false" customHeight="false" outlineLevel="0" collapsed="false">
      <c r="A18" s="6" t="s">
        <v>89</v>
      </c>
      <c r="B18" s="6" t="s">
        <v>27</v>
      </c>
      <c r="C18" s="6" t="s">
        <v>76</v>
      </c>
      <c r="D18" s="6" t="s">
        <v>90</v>
      </c>
      <c r="E18" s="6" t="s">
        <v>54</v>
      </c>
      <c r="F18" s="6" t="s">
        <v>36</v>
      </c>
      <c r="G18" s="6" t="n">
        <v>0.682</v>
      </c>
      <c r="H18" s="6" t="s">
        <v>91</v>
      </c>
      <c r="I18" s="6" t="s">
        <v>92</v>
      </c>
    </row>
    <row r="19" customFormat="false" ht="35.05" hidden="false" customHeight="false" outlineLevel="0" collapsed="false">
      <c r="A19" s="6" t="s">
        <v>89</v>
      </c>
      <c r="B19" s="6" t="s">
        <v>27</v>
      </c>
      <c r="C19" s="6" t="s">
        <v>57</v>
      </c>
      <c r="D19" s="6" t="s">
        <v>93</v>
      </c>
      <c r="E19" s="6" t="s">
        <v>54</v>
      </c>
      <c r="F19" s="6" t="s">
        <v>36</v>
      </c>
      <c r="G19" s="6" t="n">
        <v>0.826</v>
      </c>
      <c r="H19" s="6" t="s">
        <v>94</v>
      </c>
      <c r="I19" s="6" t="s">
        <v>95</v>
      </c>
    </row>
    <row r="20" customFormat="false" ht="35.05" hidden="false" customHeight="false" outlineLevel="0" collapsed="false">
      <c r="A20" s="6" t="s">
        <v>96</v>
      </c>
      <c r="B20" s="6" t="s">
        <v>27</v>
      </c>
      <c r="C20" s="6" t="s">
        <v>57</v>
      </c>
      <c r="D20" s="6" t="s">
        <v>97</v>
      </c>
      <c r="E20" s="6" t="s">
        <v>54</v>
      </c>
      <c r="F20" s="6" t="s">
        <v>36</v>
      </c>
      <c r="G20" s="6" t="n">
        <v>0.85</v>
      </c>
      <c r="H20" s="6" t="s">
        <v>98</v>
      </c>
      <c r="I20" s="6" t="s">
        <v>97</v>
      </c>
    </row>
    <row r="21" customFormat="false" ht="35.05" hidden="false" customHeight="false" outlineLevel="0" collapsed="false">
      <c r="A21" s="6" t="s">
        <v>96</v>
      </c>
      <c r="B21" s="6" t="s">
        <v>27</v>
      </c>
      <c r="C21" s="6" t="s">
        <v>99</v>
      </c>
      <c r="D21" s="6" t="s">
        <v>100</v>
      </c>
      <c r="E21" s="6" t="s">
        <v>54</v>
      </c>
      <c r="F21" s="6" t="s">
        <v>36</v>
      </c>
      <c r="G21" s="6" t="n">
        <v>0.647</v>
      </c>
      <c r="H21" s="6" t="s">
        <v>101</v>
      </c>
      <c r="I21" s="6" t="s">
        <v>100</v>
      </c>
    </row>
    <row r="22" customFormat="false" ht="57.45" hidden="false" customHeight="false" outlineLevel="0" collapsed="false">
      <c r="A22" s="6" t="s">
        <v>102</v>
      </c>
      <c r="B22" s="6" t="s">
        <v>25</v>
      </c>
      <c r="C22" s="6" t="s">
        <v>57</v>
      </c>
      <c r="D22" s="6" t="s">
        <v>103</v>
      </c>
      <c r="E22" s="6" t="s">
        <v>54</v>
      </c>
      <c r="F22" s="6" t="s">
        <v>36</v>
      </c>
      <c r="G22" s="6" t="n">
        <v>0.943</v>
      </c>
      <c r="H22" s="6" t="s">
        <v>104</v>
      </c>
      <c r="I22" s="6" t="s">
        <v>103</v>
      </c>
    </row>
    <row r="23" customFormat="false" ht="57.45" hidden="false" customHeight="false" outlineLevel="0" collapsed="false">
      <c r="A23" s="6" t="s">
        <v>102</v>
      </c>
      <c r="B23" s="6" t="s">
        <v>25</v>
      </c>
      <c r="C23" s="6" t="s">
        <v>52</v>
      </c>
      <c r="D23" s="6" t="s">
        <v>105</v>
      </c>
      <c r="E23" s="6" t="s">
        <v>54</v>
      </c>
      <c r="F23" s="6" t="s">
        <v>36</v>
      </c>
      <c r="G23" s="6" t="n">
        <v>0.462</v>
      </c>
      <c r="H23" s="6" t="s">
        <v>106</v>
      </c>
      <c r="I23" s="6" t="s">
        <v>105</v>
      </c>
    </row>
    <row r="24" customFormat="false" ht="46.25" hidden="false" customHeight="false" outlineLevel="0" collapsed="false">
      <c r="A24" s="6" t="s">
        <v>107</v>
      </c>
      <c r="B24" s="6" t="s">
        <v>25</v>
      </c>
      <c r="C24" s="6" t="s">
        <v>52</v>
      </c>
      <c r="D24" s="6" t="s">
        <v>108</v>
      </c>
      <c r="E24" s="6" t="s">
        <v>54</v>
      </c>
      <c r="F24" s="6" t="s">
        <v>36</v>
      </c>
      <c r="G24" s="6" t="n">
        <v>0.75</v>
      </c>
      <c r="H24" s="6" t="s">
        <v>109</v>
      </c>
      <c r="I24" s="6" t="s">
        <v>110</v>
      </c>
    </row>
    <row r="25" customFormat="false" ht="46.25" hidden="false" customHeight="false" outlineLevel="0" collapsed="false">
      <c r="A25" s="6" t="s">
        <v>107</v>
      </c>
      <c r="B25" s="6" t="s">
        <v>25</v>
      </c>
      <c r="C25" s="6" t="s">
        <v>76</v>
      </c>
      <c r="D25" s="6" t="s">
        <v>111</v>
      </c>
      <c r="E25" s="6" t="s">
        <v>54</v>
      </c>
      <c r="F25" s="6" t="s">
        <v>36</v>
      </c>
      <c r="G25" s="6" t="n">
        <v>0.808</v>
      </c>
      <c r="H25" s="6" t="s">
        <v>112</v>
      </c>
      <c r="I25" s="6" t="s">
        <v>111</v>
      </c>
    </row>
    <row r="26" customFormat="false" ht="15" hidden="false" customHeight="false" outlineLevel="0" collapsed="false">
      <c r="A26" s="6" t="s">
        <v>113</v>
      </c>
      <c r="B26" s="6" t="s">
        <v>25</v>
      </c>
      <c r="C26" s="6" t="s">
        <v>52</v>
      </c>
      <c r="D26" s="6" t="s">
        <v>114</v>
      </c>
      <c r="E26" s="6" t="s">
        <v>54</v>
      </c>
      <c r="F26" s="6" t="s">
        <v>38</v>
      </c>
      <c r="G26" s="6" t="n">
        <v>0.875</v>
      </c>
      <c r="H26" s="6" t="s">
        <v>115</v>
      </c>
      <c r="I26" s="6" t="s">
        <v>116</v>
      </c>
    </row>
    <row r="27" customFormat="false" ht="23.85" hidden="false" customHeight="false" outlineLevel="0" collapsed="false">
      <c r="A27" s="6" t="s">
        <v>113</v>
      </c>
      <c r="B27" s="6" t="s">
        <v>25</v>
      </c>
      <c r="C27" s="6" t="s">
        <v>117</v>
      </c>
      <c r="D27" s="6" t="s">
        <v>118</v>
      </c>
      <c r="E27" s="6" t="s">
        <v>54</v>
      </c>
      <c r="F27" s="6" t="s">
        <v>36</v>
      </c>
      <c r="G27" s="6" t="n">
        <v>0.692</v>
      </c>
      <c r="H27" s="6" t="s">
        <v>119</v>
      </c>
      <c r="I27" s="6" t="s">
        <v>118</v>
      </c>
    </row>
    <row r="28" customFormat="false" ht="35.05" hidden="false" customHeight="false" outlineLevel="0" collapsed="false">
      <c r="A28" s="6" t="s">
        <v>120</v>
      </c>
      <c r="B28" s="6" t="s">
        <v>29</v>
      </c>
      <c r="C28" s="6" t="s">
        <v>52</v>
      </c>
      <c r="D28" s="6" t="s">
        <v>121</v>
      </c>
      <c r="E28" s="6" t="s">
        <v>54</v>
      </c>
      <c r="F28" s="6" t="s">
        <v>36</v>
      </c>
      <c r="G28" s="6" t="n">
        <v>0.846</v>
      </c>
      <c r="H28" s="6" t="s">
        <v>122</v>
      </c>
      <c r="I28" s="6" t="s">
        <v>121</v>
      </c>
    </row>
    <row r="29" customFormat="false" ht="35.05" hidden="false" customHeight="false" outlineLevel="0" collapsed="false">
      <c r="A29" s="6" t="s">
        <v>120</v>
      </c>
      <c r="B29" s="6" t="s">
        <v>29</v>
      </c>
      <c r="C29" s="6" t="s">
        <v>52</v>
      </c>
      <c r="D29" s="6" t="s">
        <v>121</v>
      </c>
      <c r="E29" s="6" t="s">
        <v>54</v>
      </c>
      <c r="F29" s="6" t="s">
        <v>36</v>
      </c>
      <c r="G29" s="6" t="n">
        <v>0.667</v>
      </c>
      <c r="H29" s="6" t="s">
        <v>123</v>
      </c>
      <c r="I29" s="6" t="s">
        <v>121</v>
      </c>
    </row>
    <row r="30" customFormat="false" ht="46.25" hidden="false" customHeight="false" outlineLevel="0" collapsed="false">
      <c r="A30" s="6" t="s">
        <v>124</v>
      </c>
      <c r="B30" s="6" t="s">
        <v>29</v>
      </c>
      <c r="C30" s="6" t="s">
        <v>76</v>
      </c>
      <c r="D30" s="6" t="s">
        <v>125</v>
      </c>
      <c r="E30" s="6" t="s">
        <v>54</v>
      </c>
      <c r="F30" s="6" t="s">
        <v>36</v>
      </c>
      <c r="G30" s="6" t="n">
        <v>0.929</v>
      </c>
      <c r="H30" s="6" t="s">
        <v>126</v>
      </c>
      <c r="I30" s="6" t="s">
        <v>127</v>
      </c>
    </row>
    <row r="31" customFormat="false" ht="35.05" hidden="false" customHeight="false" outlineLevel="0" collapsed="false">
      <c r="A31" s="6" t="s">
        <v>124</v>
      </c>
      <c r="B31" s="6" t="s">
        <v>29</v>
      </c>
      <c r="C31" s="6" t="s">
        <v>76</v>
      </c>
      <c r="D31" s="6" t="s">
        <v>125</v>
      </c>
      <c r="E31" s="6" t="s">
        <v>54</v>
      </c>
      <c r="F31" s="6" t="s">
        <v>36</v>
      </c>
      <c r="G31" s="6" t="n">
        <v>0.611</v>
      </c>
      <c r="H31" s="6" t="s">
        <v>128</v>
      </c>
      <c r="I31" s="6" t="s">
        <v>127</v>
      </c>
    </row>
    <row r="32" customFormat="false" ht="35.05" hidden="false" customHeight="false" outlineLevel="0" collapsed="false">
      <c r="A32" s="6" t="s">
        <v>129</v>
      </c>
      <c r="B32" s="6" t="s">
        <v>27</v>
      </c>
      <c r="C32" s="6" t="s">
        <v>52</v>
      </c>
      <c r="D32" s="6" t="s">
        <v>130</v>
      </c>
      <c r="E32" s="6" t="s">
        <v>54</v>
      </c>
      <c r="F32" s="6" t="s">
        <v>36</v>
      </c>
      <c r="G32" s="6" t="n">
        <v>0.357</v>
      </c>
      <c r="H32" s="6" t="s">
        <v>131</v>
      </c>
      <c r="I32" s="6" t="s">
        <v>132</v>
      </c>
    </row>
    <row r="33" customFormat="false" ht="35.05" hidden="false" customHeight="false" outlineLevel="0" collapsed="false">
      <c r="A33" s="6" t="s">
        <v>129</v>
      </c>
      <c r="B33" s="6" t="s">
        <v>27</v>
      </c>
      <c r="C33" s="6" t="s">
        <v>52</v>
      </c>
      <c r="D33" s="6" t="s">
        <v>130</v>
      </c>
      <c r="E33" s="6" t="s">
        <v>54</v>
      </c>
      <c r="F33" s="6" t="s">
        <v>36</v>
      </c>
      <c r="G33" s="6" t="n">
        <v>0.35</v>
      </c>
      <c r="H33" s="6" t="s">
        <v>133</v>
      </c>
      <c r="I33" s="6" t="s">
        <v>132</v>
      </c>
    </row>
    <row r="34" customFormat="false" ht="23.85" hidden="false" customHeight="false" outlineLevel="0" collapsed="false">
      <c r="A34" s="6" t="s">
        <v>134</v>
      </c>
      <c r="B34" s="6" t="s">
        <v>27</v>
      </c>
      <c r="C34" s="6" t="s">
        <v>52</v>
      </c>
      <c r="D34" s="6" t="s">
        <v>135</v>
      </c>
      <c r="E34" s="6" t="s">
        <v>54</v>
      </c>
      <c r="F34" s="6" t="s">
        <v>38</v>
      </c>
      <c r="G34" s="6" t="n">
        <v>1</v>
      </c>
      <c r="H34" s="6" t="s">
        <v>136</v>
      </c>
      <c r="I34" s="6" t="s">
        <v>135</v>
      </c>
    </row>
    <row r="35" customFormat="false" ht="35.05" hidden="false" customHeight="false" outlineLevel="0" collapsed="false">
      <c r="A35" s="6" t="s">
        <v>134</v>
      </c>
      <c r="B35" s="6" t="s">
        <v>27</v>
      </c>
      <c r="C35" s="6" t="s">
        <v>52</v>
      </c>
      <c r="D35" s="6" t="s">
        <v>135</v>
      </c>
      <c r="E35" s="6" t="s">
        <v>54</v>
      </c>
      <c r="F35" s="6" t="s">
        <v>36</v>
      </c>
      <c r="G35" s="6" t="n">
        <v>0.483</v>
      </c>
      <c r="H35" s="6" t="s">
        <v>137</v>
      </c>
      <c r="I35" s="6" t="s">
        <v>135</v>
      </c>
    </row>
    <row r="36" customFormat="false" ht="57.45" hidden="false" customHeight="false" outlineLevel="0" collapsed="false">
      <c r="A36" s="6" t="s">
        <v>138</v>
      </c>
      <c r="B36" s="6" t="s">
        <v>27</v>
      </c>
      <c r="C36" s="6" t="s">
        <v>52</v>
      </c>
      <c r="D36" s="6" t="s">
        <v>139</v>
      </c>
      <c r="E36" s="6" t="s">
        <v>54</v>
      </c>
      <c r="F36" s="6" t="s">
        <v>36</v>
      </c>
      <c r="G36" s="6" t="n">
        <v>1</v>
      </c>
      <c r="H36" s="6" t="s">
        <v>140</v>
      </c>
      <c r="I36" s="6" t="s">
        <v>139</v>
      </c>
    </row>
    <row r="37" customFormat="false" ht="46.25" hidden="false" customHeight="false" outlineLevel="0" collapsed="false">
      <c r="A37" s="6" t="s">
        <v>138</v>
      </c>
      <c r="B37" s="6" t="s">
        <v>27</v>
      </c>
      <c r="C37" s="6" t="s">
        <v>76</v>
      </c>
      <c r="D37" s="6" t="s">
        <v>81</v>
      </c>
      <c r="E37" s="6" t="s">
        <v>54</v>
      </c>
      <c r="F37" s="6" t="s">
        <v>38</v>
      </c>
      <c r="G37" s="6" t="n">
        <v>0.957</v>
      </c>
      <c r="H37" s="6" t="s">
        <v>141</v>
      </c>
      <c r="I37" s="6" t="s">
        <v>81</v>
      </c>
    </row>
    <row r="38" customFormat="false" ht="35.05" hidden="false" customHeight="false" outlineLevel="0" collapsed="false">
      <c r="A38" s="6" t="s">
        <v>142</v>
      </c>
      <c r="B38" s="6" t="s">
        <v>28</v>
      </c>
      <c r="C38" s="6" t="s">
        <v>52</v>
      </c>
      <c r="D38" s="6" t="s">
        <v>143</v>
      </c>
      <c r="E38" s="6" t="s">
        <v>54</v>
      </c>
      <c r="F38" s="6" t="s">
        <v>36</v>
      </c>
      <c r="G38" s="6" t="n">
        <v>0.684</v>
      </c>
      <c r="H38" s="6" t="s">
        <v>144</v>
      </c>
      <c r="I38" s="6" t="s">
        <v>143</v>
      </c>
    </row>
    <row r="39" customFormat="false" ht="35.05" hidden="false" customHeight="false" outlineLevel="0" collapsed="false">
      <c r="A39" s="6" t="s">
        <v>142</v>
      </c>
      <c r="B39" s="6" t="s">
        <v>28</v>
      </c>
      <c r="C39" s="6" t="s">
        <v>117</v>
      </c>
      <c r="D39" s="6" t="s">
        <v>145</v>
      </c>
      <c r="E39" s="6" t="s">
        <v>54</v>
      </c>
      <c r="F39" s="6" t="s">
        <v>36</v>
      </c>
      <c r="G39" s="6" t="n">
        <v>0.368</v>
      </c>
      <c r="H39" s="6" t="s">
        <v>144</v>
      </c>
      <c r="I39" s="6" t="s">
        <v>145</v>
      </c>
    </row>
    <row r="40" customFormat="false" ht="23.85" hidden="false" customHeight="false" outlineLevel="0" collapsed="false">
      <c r="A40" s="6" t="s">
        <v>146</v>
      </c>
      <c r="B40" s="6" t="s">
        <v>28</v>
      </c>
      <c r="C40" s="6" t="s">
        <v>52</v>
      </c>
      <c r="D40" s="6" t="s">
        <v>147</v>
      </c>
      <c r="E40" s="6" t="s">
        <v>54</v>
      </c>
      <c r="F40" s="6" t="s">
        <v>36</v>
      </c>
      <c r="G40" s="6" t="n">
        <v>0.833</v>
      </c>
      <c r="H40" s="6" t="s">
        <v>148</v>
      </c>
      <c r="I40" s="6" t="s">
        <v>147</v>
      </c>
    </row>
    <row r="41" customFormat="false" ht="35.05" hidden="false" customHeight="false" outlineLevel="0" collapsed="false">
      <c r="A41" s="6" t="s">
        <v>146</v>
      </c>
      <c r="B41" s="6" t="s">
        <v>28</v>
      </c>
      <c r="C41" s="6" t="s">
        <v>57</v>
      </c>
      <c r="D41" s="6" t="s">
        <v>149</v>
      </c>
      <c r="E41" s="6" t="s">
        <v>54</v>
      </c>
      <c r="F41" s="6" t="s">
        <v>36</v>
      </c>
      <c r="G41" s="6" t="n">
        <v>0.533</v>
      </c>
      <c r="H41" s="6" t="s">
        <v>150</v>
      </c>
      <c r="I41" s="6" t="s">
        <v>151</v>
      </c>
    </row>
    <row r="42" customFormat="false" ht="35.05" hidden="false" customHeight="false" outlineLevel="0" collapsed="false">
      <c r="A42" s="6" t="s">
        <v>152</v>
      </c>
      <c r="B42" s="6" t="s">
        <v>28</v>
      </c>
      <c r="C42" s="6" t="s">
        <v>52</v>
      </c>
      <c r="D42" s="6" t="s">
        <v>153</v>
      </c>
      <c r="E42" s="6" t="s">
        <v>54</v>
      </c>
      <c r="F42" s="6" t="s">
        <v>38</v>
      </c>
      <c r="G42" s="6" t="n">
        <v>0.933</v>
      </c>
      <c r="H42" s="6" t="s">
        <v>154</v>
      </c>
      <c r="I42" s="6" t="s">
        <v>155</v>
      </c>
    </row>
    <row r="43" customFormat="false" ht="35.05" hidden="false" customHeight="false" outlineLevel="0" collapsed="false">
      <c r="A43" s="6" t="s">
        <v>152</v>
      </c>
      <c r="B43" s="6" t="s">
        <v>28</v>
      </c>
      <c r="C43" s="6" t="s">
        <v>52</v>
      </c>
      <c r="D43" s="6" t="s">
        <v>153</v>
      </c>
      <c r="E43" s="6" t="s">
        <v>54</v>
      </c>
      <c r="F43" s="6" t="s">
        <v>38</v>
      </c>
      <c r="G43" s="6" t="n">
        <v>0.857</v>
      </c>
      <c r="H43" s="6" t="s">
        <v>156</v>
      </c>
      <c r="I43" s="6" t="s">
        <v>155</v>
      </c>
    </row>
    <row r="44" customFormat="false" ht="23.85" hidden="false" customHeight="false" outlineLevel="0" collapsed="false">
      <c r="A44" s="6" t="s">
        <v>157</v>
      </c>
      <c r="B44" s="6" t="s">
        <v>28</v>
      </c>
      <c r="C44" s="6" t="s">
        <v>52</v>
      </c>
      <c r="D44" s="6" t="s">
        <v>158</v>
      </c>
      <c r="E44" s="6" t="s">
        <v>54</v>
      </c>
      <c r="F44" s="6" t="s">
        <v>38</v>
      </c>
      <c r="G44" s="6" t="n">
        <v>1</v>
      </c>
      <c r="H44" s="6" t="s">
        <v>159</v>
      </c>
      <c r="I44" s="6" t="s">
        <v>158</v>
      </c>
    </row>
    <row r="45" customFormat="false" ht="23.85" hidden="false" customHeight="false" outlineLevel="0" collapsed="false">
      <c r="A45" s="6" t="s">
        <v>157</v>
      </c>
      <c r="B45" s="6" t="s">
        <v>28</v>
      </c>
      <c r="C45" s="6" t="s">
        <v>52</v>
      </c>
      <c r="D45" s="6" t="s">
        <v>158</v>
      </c>
      <c r="E45" s="6" t="s">
        <v>54</v>
      </c>
      <c r="F45" s="6" t="s">
        <v>38</v>
      </c>
      <c r="G45" s="6" t="n">
        <v>1</v>
      </c>
      <c r="H45" s="6" t="s">
        <v>160</v>
      </c>
      <c r="I45" s="6" t="s">
        <v>158</v>
      </c>
    </row>
    <row r="46" customFormat="false" ht="15" hidden="false" customHeight="false" outlineLevel="0" collapsed="false">
      <c r="A46" s="13" t="s">
        <v>161</v>
      </c>
      <c r="B46" s="13" t="s">
        <v>28</v>
      </c>
      <c r="C46" s="13" t="s">
        <v>52</v>
      </c>
      <c r="D46" s="13" t="s">
        <v>162</v>
      </c>
      <c r="E46" s="13" t="s">
        <v>163</v>
      </c>
      <c r="F46" s="13" t="s">
        <v>164</v>
      </c>
      <c r="G46" s="13" t="n">
        <v>1</v>
      </c>
      <c r="H46" s="13" t="s">
        <v>165</v>
      </c>
      <c r="I46" s="13" t="s">
        <v>166</v>
      </c>
    </row>
    <row r="47" customFormat="false" ht="23.85" hidden="false" customHeight="false" outlineLevel="0" collapsed="false">
      <c r="A47" s="6" t="s">
        <v>161</v>
      </c>
      <c r="B47" s="6" t="s">
        <v>28</v>
      </c>
      <c r="C47" s="6" t="s">
        <v>57</v>
      </c>
      <c r="D47" s="6" t="s">
        <v>167</v>
      </c>
      <c r="E47" s="6" t="s">
        <v>54</v>
      </c>
      <c r="F47" s="6" t="s">
        <v>38</v>
      </c>
      <c r="G47" s="6" t="n">
        <v>0.917</v>
      </c>
      <c r="H47" s="6" t="s">
        <v>168</v>
      </c>
      <c r="I47" s="6" t="s">
        <v>169</v>
      </c>
    </row>
    <row r="48" customFormat="false" ht="35.05" hidden="false" customHeight="false" outlineLevel="0" collapsed="false">
      <c r="A48" s="6" t="s">
        <v>170</v>
      </c>
      <c r="B48" s="6" t="s">
        <v>28</v>
      </c>
      <c r="C48" s="6" t="s">
        <v>52</v>
      </c>
      <c r="D48" s="6" t="s">
        <v>171</v>
      </c>
      <c r="E48" s="6" t="s">
        <v>54</v>
      </c>
      <c r="F48" s="6" t="s">
        <v>36</v>
      </c>
      <c r="G48" s="6" t="n">
        <v>0.905</v>
      </c>
      <c r="H48" s="6" t="s">
        <v>172</v>
      </c>
      <c r="I48" s="6" t="s">
        <v>171</v>
      </c>
    </row>
    <row r="49" customFormat="false" ht="35.05" hidden="false" customHeight="false" outlineLevel="0" collapsed="false">
      <c r="A49" s="6" t="s">
        <v>170</v>
      </c>
      <c r="B49" s="6" t="s">
        <v>28</v>
      </c>
      <c r="C49" s="6" t="s">
        <v>52</v>
      </c>
      <c r="D49" s="6" t="s">
        <v>171</v>
      </c>
      <c r="E49" s="6" t="s">
        <v>54</v>
      </c>
      <c r="F49" s="6" t="s">
        <v>36</v>
      </c>
      <c r="G49" s="6" t="n">
        <v>0.895</v>
      </c>
      <c r="H49" s="6" t="s">
        <v>173</v>
      </c>
      <c r="I49" s="6" t="s">
        <v>171</v>
      </c>
    </row>
    <row r="50" customFormat="false" ht="35.05" hidden="false" customHeight="false" outlineLevel="0" collapsed="false">
      <c r="A50" s="6" t="s">
        <v>174</v>
      </c>
      <c r="B50" s="6" t="s">
        <v>28</v>
      </c>
      <c r="C50" s="6" t="s">
        <v>52</v>
      </c>
      <c r="D50" s="6" t="s">
        <v>175</v>
      </c>
      <c r="E50" s="6" t="s">
        <v>54</v>
      </c>
      <c r="F50" s="6" t="s">
        <v>38</v>
      </c>
      <c r="G50" s="6" t="n">
        <v>1</v>
      </c>
      <c r="H50" s="6" t="s">
        <v>176</v>
      </c>
      <c r="I50" s="6" t="s">
        <v>177</v>
      </c>
    </row>
    <row r="51" customFormat="false" ht="35.05" hidden="false" customHeight="false" outlineLevel="0" collapsed="false">
      <c r="A51" s="6" t="s">
        <v>174</v>
      </c>
      <c r="B51" s="6" t="s">
        <v>28</v>
      </c>
      <c r="C51" s="6" t="s">
        <v>57</v>
      </c>
      <c r="D51" s="6" t="s">
        <v>178</v>
      </c>
      <c r="E51" s="6" t="s">
        <v>54</v>
      </c>
      <c r="F51" s="6" t="s">
        <v>36</v>
      </c>
      <c r="G51" s="6" t="n">
        <v>0.286</v>
      </c>
      <c r="H51" s="6" t="s">
        <v>179</v>
      </c>
      <c r="I51" s="6" t="s">
        <v>178</v>
      </c>
    </row>
    <row r="52" customFormat="false" ht="23.85" hidden="false" customHeight="false" outlineLevel="0" collapsed="false">
      <c r="A52" s="6" t="s">
        <v>180</v>
      </c>
      <c r="B52" s="6" t="s">
        <v>28</v>
      </c>
      <c r="C52" s="6" t="s">
        <v>52</v>
      </c>
      <c r="D52" s="6" t="s">
        <v>171</v>
      </c>
      <c r="E52" s="6" t="s">
        <v>54</v>
      </c>
      <c r="F52" s="6" t="s">
        <v>36</v>
      </c>
      <c r="G52" s="6" t="n">
        <v>0.909</v>
      </c>
      <c r="H52" s="6" t="s">
        <v>181</v>
      </c>
      <c r="I52" s="6" t="s">
        <v>182</v>
      </c>
    </row>
    <row r="53" customFormat="false" ht="23.85" hidden="false" customHeight="false" outlineLevel="0" collapsed="false">
      <c r="A53" s="6" t="s">
        <v>180</v>
      </c>
      <c r="B53" s="6" t="s">
        <v>28</v>
      </c>
      <c r="C53" s="6" t="s">
        <v>52</v>
      </c>
      <c r="D53" s="6" t="s">
        <v>171</v>
      </c>
      <c r="E53" s="6" t="s">
        <v>54</v>
      </c>
      <c r="F53" s="6" t="s">
        <v>36</v>
      </c>
      <c r="G53" s="6" t="n">
        <v>1</v>
      </c>
      <c r="H53" s="6" t="s">
        <v>183</v>
      </c>
      <c r="I53" s="6" t="s">
        <v>182</v>
      </c>
    </row>
    <row r="54" customFormat="false" ht="23.85" hidden="false" customHeight="false" outlineLevel="0" collapsed="false">
      <c r="A54" s="6" t="s">
        <v>180</v>
      </c>
      <c r="B54" s="6" t="s">
        <v>28</v>
      </c>
      <c r="C54" s="6" t="s">
        <v>52</v>
      </c>
      <c r="D54" s="6" t="s">
        <v>171</v>
      </c>
      <c r="E54" s="6" t="s">
        <v>54</v>
      </c>
      <c r="F54" s="6" t="s">
        <v>36</v>
      </c>
      <c r="G54" s="6" t="n">
        <v>1</v>
      </c>
      <c r="H54" s="6" t="s">
        <v>184</v>
      </c>
      <c r="I54" s="6" t="s">
        <v>182</v>
      </c>
    </row>
    <row r="55" customFormat="false" ht="23.85" hidden="false" customHeight="false" outlineLevel="0" collapsed="false">
      <c r="A55" s="6" t="s">
        <v>180</v>
      </c>
      <c r="B55" s="6" t="s">
        <v>28</v>
      </c>
      <c r="C55" s="6" t="s">
        <v>52</v>
      </c>
      <c r="D55" s="6" t="s">
        <v>171</v>
      </c>
      <c r="E55" s="6" t="s">
        <v>54</v>
      </c>
      <c r="F55" s="6" t="s">
        <v>36</v>
      </c>
      <c r="G55" s="6" t="n">
        <v>1</v>
      </c>
      <c r="H55" s="6" t="s">
        <v>185</v>
      </c>
      <c r="I55" s="6" t="s">
        <v>182</v>
      </c>
    </row>
    <row r="56" customFormat="false" ht="57.45" hidden="false" customHeight="false" outlineLevel="0" collapsed="false">
      <c r="A56" s="6" t="s">
        <v>186</v>
      </c>
      <c r="B56" s="6" t="s">
        <v>28</v>
      </c>
      <c r="C56" s="6" t="s">
        <v>52</v>
      </c>
      <c r="D56" s="6" t="s">
        <v>187</v>
      </c>
      <c r="E56" s="6" t="s">
        <v>54</v>
      </c>
      <c r="F56" s="6" t="s">
        <v>36</v>
      </c>
      <c r="G56" s="6" t="n">
        <v>0.939</v>
      </c>
      <c r="H56" s="6" t="s">
        <v>188</v>
      </c>
      <c r="I56" s="6" t="s">
        <v>187</v>
      </c>
    </row>
    <row r="57" customFormat="false" ht="57.45" hidden="false" customHeight="false" outlineLevel="0" collapsed="false">
      <c r="A57" s="6" t="s">
        <v>186</v>
      </c>
      <c r="B57" s="6" t="s">
        <v>28</v>
      </c>
      <c r="C57" s="6" t="s">
        <v>52</v>
      </c>
      <c r="D57" s="6" t="s">
        <v>187</v>
      </c>
      <c r="E57" s="6" t="s">
        <v>54</v>
      </c>
      <c r="F57" s="6" t="s">
        <v>36</v>
      </c>
      <c r="G57" s="6" t="n">
        <v>0.974</v>
      </c>
      <c r="H57" s="6" t="s">
        <v>189</v>
      </c>
      <c r="I57" s="6" t="s">
        <v>187</v>
      </c>
    </row>
    <row r="58" customFormat="false" ht="35.05" hidden="false" customHeight="false" outlineLevel="0" collapsed="false">
      <c r="A58" s="6" t="s">
        <v>190</v>
      </c>
      <c r="B58" s="6" t="s">
        <v>28</v>
      </c>
      <c r="C58" s="6" t="s">
        <v>52</v>
      </c>
      <c r="D58" s="6" t="s">
        <v>191</v>
      </c>
      <c r="E58" s="6" t="s">
        <v>54</v>
      </c>
      <c r="F58" s="6" t="s">
        <v>38</v>
      </c>
      <c r="G58" s="6" t="n">
        <v>1</v>
      </c>
      <c r="H58" s="6" t="s">
        <v>192</v>
      </c>
      <c r="I58" s="6" t="s">
        <v>193</v>
      </c>
    </row>
    <row r="59" customFormat="false" ht="35.05" hidden="false" customHeight="false" outlineLevel="0" collapsed="false">
      <c r="A59" s="6" t="s">
        <v>190</v>
      </c>
      <c r="B59" s="6" t="s">
        <v>28</v>
      </c>
      <c r="C59" s="6" t="s">
        <v>52</v>
      </c>
      <c r="D59" s="6" t="s">
        <v>191</v>
      </c>
      <c r="E59" s="6" t="s">
        <v>54</v>
      </c>
      <c r="F59" s="6" t="s">
        <v>38</v>
      </c>
      <c r="G59" s="6" t="n">
        <v>1</v>
      </c>
      <c r="H59" s="6" t="s">
        <v>194</v>
      </c>
      <c r="I59" s="6" t="s">
        <v>193</v>
      </c>
    </row>
    <row r="60" customFormat="false" ht="23.85" hidden="false" customHeight="false" outlineLevel="0" collapsed="false">
      <c r="A60" s="6" t="s">
        <v>195</v>
      </c>
      <c r="B60" s="6" t="s">
        <v>28</v>
      </c>
      <c r="C60" s="6" t="s">
        <v>52</v>
      </c>
      <c r="D60" s="6" t="s">
        <v>196</v>
      </c>
      <c r="E60" s="6" t="s">
        <v>54</v>
      </c>
      <c r="F60" s="6" t="s">
        <v>38</v>
      </c>
      <c r="G60" s="6" t="n">
        <v>1</v>
      </c>
      <c r="H60" s="6" t="s">
        <v>197</v>
      </c>
      <c r="I60" s="6" t="s">
        <v>196</v>
      </c>
    </row>
    <row r="61" customFormat="false" ht="23.85" hidden="false" customHeight="false" outlineLevel="0" collapsed="false">
      <c r="A61" s="6" t="s">
        <v>195</v>
      </c>
      <c r="B61" s="6" t="s">
        <v>28</v>
      </c>
      <c r="C61" s="6" t="s">
        <v>52</v>
      </c>
      <c r="D61" s="6" t="s">
        <v>196</v>
      </c>
      <c r="E61" s="6" t="s">
        <v>54</v>
      </c>
      <c r="F61" s="6" t="s">
        <v>38</v>
      </c>
      <c r="G61" s="6" t="n">
        <v>1</v>
      </c>
      <c r="H61" s="6" t="s">
        <v>198</v>
      </c>
      <c r="I61" s="6" t="s">
        <v>196</v>
      </c>
    </row>
    <row r="62" customFormat="false" ht="23.85" hidden="false" customHeight="false" outlineLevel="0" collapsed="false">
      <c r="A62" s="6" t="s">
        <v>199</v>
      </c>
      <c r="B62" s="6" t="s">
        <v>28</v>
      </c>
      <c r="C62" s="6" t="s">
        <v>52</v>
      </c>
      <c r="D62" s="6" t="s">
        <v>200</v>
      </c>
      <c r="E62" s="6" t="s">
        <v>54</v>
      </c>
      <c r="F62" s="6" t="s">
        <v>38</v>
      </c>
      <c r="G62" s="6" t="n">
        <v>0.917</v>
      </c>
      <c r="H62" s="6" t="s">
        <v>201</v>
      </c>
      <c r="I62" s="6" t="s">
        <v>202</v>
      </c>
    </row>
    <row r="63" customFormat="false" ht="35.05" hidden="false" customHeight="false" outlineLevel="0" collapsed="false">
      <c r="A63" s="6" t="s">
        <v>199</v>
      </c>
      <c r="B63" s="6" t="s">
        <v>28</v>
      </c>
      <c r="C63" s="6" t="s">
        <v>52</v>
      </c>
      <c r="D63" s="6" t="s">
        <v>200</v>
      </c>
      <c r="E63" s="6" t="s">
        <v>54</v>
      </c>
      <c r="F63" s="6" t="s">
        <v>36</v>
      </c>
      <c r="G63" s="6" t="n">
        <v>1</v>
      </c>
      <c r="H63" s="6" t="s">
        <v>203</v>
      </c>
      <c r="I63" s="6" t="s">
        <v>202</v>
      </c>
    </row>
    <row r="64" customFormat="false" ht="35.05" hidden="false" customHeight="false" outlineLevel="0" collapsed="false">
      <c r="A64" s="6" t="s">
        <v>204</v>
      </c>
      <c r="B64" s="6" t="s">
        <v>28</v>
      </c>
      <c r="C64" s="6" t="s">
        <v>76</v>
      </c>
      <c r="D64" s="6" t="s">
        <v>53</v>
      </c>
      <c r="E64" s="6" t="s">
        <v>54</v>
      </c>
      <c r="F64" s="6" t="s">
        <v>38</v>
      </c>
      <c r="G64" s="6" t="n">
        <v>0.833</v>
      </c>
      <c r="H64" s="6" t="s">
        <v>205</v>
      </c>
      <c r="I64" s="6" t="s">
        <v>56</v>
      </c>
    </row>
    <row r="65" customFormat="false" ht="35.05" hidden="false" customHeight="false" outlineLevel="0" collapsed="false">
      <c r="A65" s="6" t="s">
        <v>204</v>
      </c>
      <c r="B65" s="6" t="s">
        <v>28</v>
      </c>
      <c r="C65" s="6" t="s">
        <v>76</v>
      </c>
      <c r="D65" s="6" t="s">
        <v>53</v>
      </c>
      <c r="E65" s="6" t="s">
        <v>54</v>
      </c>
      <c r="F65" s="6" t="s">
        <v>38</v>
      </c>
      <c r="G65" s="6" t="n">
        <v>0.75</v>
      </c>
      <c r="H65" s="6" t="s">
        <v>206</v>
      </c>
      <c r="I65" s="6" t="s">
        <v>56</v>
      </c>
    </row>
    <row r="66" customFormat="false" ht="35.05" hidden="false" customHeight="false" outlineLevel="0" collapsed="false">
      <c r="A66" s="6" t="s">
        <v>207</v>
      </c>
      <c r="B66" s="6" t="s">
        <v>28</v>
      </c>
      <c r="C66" s="6" t="s">
        <v>57</v>
      </c>
      <c r="D66" s="6" t="s">
        <v>208</v>
      </c>
      <c r="E66" s="6" t="s">
        <v>54</v>
      </c>
      <c r="F66" s="6" t="s">
        <v>38</v>
      </c>
      <c r="G66" s="6" t="n">
        <v>0.947</v>
      </c>
      <c r="H66" s="6" t="s">
        <v>209</v>
      </c>
      <c r="I66" s="6" t="s">
        <v>208</v>
      </c>
    </row>
    <row r="67" customFormat="false" ht="35.05" hidden="false" customHeight="false" outlineLevel="0" collapsed="false">
      <c r="A67" s="6" t="s">
        <v>207</v>
      </c>
      <c r="B67" s="6" t="s">
        <v>28</v>
      </c>
      <c r="C67" s="6" t="s">
        <v>57</v>
      </c>
      <c r="D67" s="6" t="s">
        <v>208</v>
      </c>
      <c r="E67" s="6" t="s">
        <v>54</v>
      </c>
      <c r="F67" s="6" t="s">
        <v>38</v>
      </c>
      <c r="G67" s="6" t="n">
        <v>1</v>
      </c>
      <c r="H67" s="6" t="s">
        <v>210</v>
      </c>
      <c r="I67" s="6" t="s">
        <v>208</v>
      </c>
    </row>
    <row r="68" customFormat="false" ht="46.25" hidden="false" customHeight="false" outlineLevel="0" collapsed="false">
      <c r="A68" s="6" t="s">
        <v>211</v>
      </c>
      <c r="B68" s="6" t="s">
        <v>28</v>
      </c>
      <c r="C68" s="6" t="s">
        <v>52</v>
      </c>
      <c r="D68" s="6" t="s">
        <v>212</v>
      </c>
      <c r="E68" s="6" t="s">
        <v>54</v>
      </c>
      <c r="F68" s="6" t="s">
        <v>38</v>
      </c>
      <c r="G68" s="6" t="n">
        <v>1</v>
      </c>
      <c r="H68" s="6" t="s">
        <v>213</v>
      </c>
      <c r="I68" s="6" t="s">
        <v>214</v>
      </c>
    </row>
    <row r="69" customFormat="false" ht="46.25" hidden="false" customHeight="false" outlineLevel="0" collapsed="false">
      <c r="A69" s="6" t="s">
        <v>211</v>
      </c>
      <c r="B69" s="6" t="s">
        <v>28</v>
      </c>
      <c r="C69" s="6" t="s">
        <v>52</v>
      </c>
      <c r="D69" s="6" t="s">
        <v>212</v>
      </c>
      <c r="E69" s="6" t="s">
        <v>54</v>
      </c>
      <c r="F69" s="6" t="s">
        <v>38</v>
      </c>
      <c r="G69" s="6" t="n">
        <v>1</v>
      </c>
      <c r="H69" s="6" t="s">
        <v>215</v>
      </c>
      <c r="I69" s="6" t="s">
        <v>214</v>
      </c>
    </row>
    <row r="70" customFormat="false" ht="35.05" hidden="false" customHeight="false" outlineLevel="0" collapsed="false">
      <c r="A70" s="6" t="s">
        <v>216</v>
      </c>
      <c r="B70" s="6" t="s">
        <v>27</v>
      </c>
      <c r="C70" s="6" t="s">
        <v>76</v>
      </c>
      <c r="D70" s="6" t="s">
        <v>100</v>
      </c>
      <c r="E70" s="6" t="s">
        <v>54</v>
      </c>
      <c r="F70" s="6" t="s">
        <v>36</v>
      </c>
      <c r="G70" s="6" t="n">
        <v>0.706</v>
      </c>
      <c r="H70" s="6" t="s">
        <v>217</v>
      </c>
      <c r="I70" s="6" t="s">
        <v>100</v>
      </c>
    </row>
    <row r="71" customFormat="false" ht="35.05" hidden="false" customHeight="false" outlineLevel="0" collapsed="false">
      <c r="A71" s="6" t="s">
        <v>216</v>
      </c>
      <c r="B71" s="6" t="s">
        <v>27</v>
      </c>
      <c r="C71" s="6" t="s">
        <v>99</v>
      </c>
      <c r="D71" s="6" t="s">
        <v>97</v>
      </c>
      <c r="E71" s="6" t="s">
        <v>54</v>
      </c>
      <c r="F71" s="6" t="s">
        <v>36</v>
      </c>
      <c r="G71" s="6" t="n">
        <v>0.8</v>
      </c>
      <c r="H71" s="6" t="s">
        <v>218</v>
      </c>
      <c r="I71" s="6" t="s">
        <v>97</v>
      </c>
    </row>
    <row r="72" customFormat="false" ht="35.05" hidden="false" customHeight="false" outlineLevel="0" collapsed="false">
      <c r="A72" s="6" t="s">
        <v>219</v>
      </c>
      <c r="B72" s="6" t="s">
        <v>27</v>
      </c>
      <c r="C72" s="6" t="s">
        <v>117</v>
      </c>
      <c r="D72" s="6" t="s">
        <v>220</v>
      </c>
      <c r="E72" s="6" t="s">
        <v>54</v>
      </c>
      <c r="F72" s="6" t="s">
        <v>36</v>
      </c>
      <c r="G72" s="6" t="n">
        <v>0.929</v>
      </c>
      <c r="H72" s="6" t="s">
        <v>221</v>
      </c>
      <c r="I72" s="6" t="s">
        <v>222</v>
      </c>
    </row>
    <row r="73" customFormat="false" ht="46.25" hidden="false" customHeight="false" outlineLevel="0" collapsed="false">
      <c r="A73" s="6" t="s">
        <v>219</v>
      </c>
      <c r="B73" s="6" t="s">
        <v>27</v>
      </c>
      <c r="C73" s="6" t="s">
        <v>117</v>
      </c>
      <c r="D73" s="6" t="s">
        <v>220</v>
      </c>
      <c r="E73" s="6" t="s">
        <v>54</v>
      </c>
      <c r="F73" s="6" t="s">
        <v>38</v>
      </c>
      <c r="G73" s="6" t="n">
        <v>0.958</v>
      </c>
      <c r="H73" s="6" t="s">
        <v>223</v>
      </c>
      <c r="I73" s="6" t="s">
        <v>222</v>
      </c>
    </row>
    <row r="74" customFormat="false" ht="35.05" hidden="false" customHeight="false" outlineLevel="0" collapsed="false">
      <c r="A74" s="6" t="s">
        <v>224</v>
      </c>
      <c r="B74" s="6" t="s">
        <v>27</v>
      </c>
      <c r="C74" s="6" t="s">
        <v>52</v>
      </c>
      <c r="D74" s="6" t="s">
        <v>130</v>
      </c>
      <c r="E74" s="6" t="s">
        <v>54</v>
      </c>
      <c r="F74" s="6" t="s">
        <v>36</v>
      </c>
      <c r="G74" s="6" t="n">
        <v>0.529</v>
      </c>
      <c r="H74" s="6" t="s">
        <v>225</v>
      </c>
      <c r="I74" s="6" t="s">
        <v>130</v>
      </c>
    </row>
    <row r="75" customFormat="false" ht="46.25" hidden="false" customHeight="false" outlineLevel="0" collapsed="false">
      <c r="A75" s="6" t="s">
        <v>224</v>
      </c>
      <c r="B75" s="6" t="s">
        <v>27</v>
      </c>
      <c r="C75" s="6" t="s">
        <v>99</v>
      </c>
      <c r="D75" s="6" t="s">
        <v>121</v>
      </c>
      <c r="E75" s="6" t="s">
        <v>54</v>
      </c>
      <c r="F75" s="6" t="s">
        <v>36</v>
      </c>
      <c r="G75" s="6" t="n">
        <v>0.556</v>
      </c>
      <c r="H75" s="6" t="s">
        <v>226</v>
      </c>
      <c r="I75" s="6" t="s">
        <v>121</v>
      </c>
    </row>
    <row r="76" customFormat="false" ht="35.05" hidden="false" customHeight="false" outlineLevel="0" collapsed="false">
      <c r="A76" s="6" t="s">
        <v>227</v>
      </c>
      <c r="B76" s="6" t="s">
        <v>25</v>
      </c>
      <c r="C76" s="6" t="s">
        <v>76</v>
      </c>
      <c r="D76" s="6" t="s">
        <v>228</v>
      </c>
      <c r="E76" s="6" t="s">
        <v>54</v>
      </c>
      <c r="F76" s="6" t="s">
        <v>36</v>
      </c>
      <c r="G76" s="6" t="n">
        <v>0.682</v>
      </c>
      <c r="H76" s="6" t="s">
        <v>229</v>
      </c>
      <c r="I76" s="6" t="s">
        <v>228</v>
      </c>
    </row>
    <row r="77" customFormat="false" ht="35.05" hidden="false" customHeight="false" outlineLevel="0" collapsed="false">
      <c r="A77" s="6" t="s">
        <v>227</v>
      </c>
      <c r="B77" s="6" t="s">
        <v>25</v>
      </c>
      <c r="C77" s="6" t="s">
        <v>52</v>
      </c>
      <c r="D77" s="6" t="s">
        <v>230</v>
      </c>
      <c r="E77" s="6" t="s">
        <v>54</v>
      </c>
      <c r="F77" s="6" t="s">
        <v>36</v>
      </c>
      <c r="G77" s="6" t="n">
        <v>0.87</v>
      </c>
      <c r="H77" s="6" t="s">
        <v>231</v>
      </c>
      <c r="I77" s="6" t="s">
        <v>230</v>
      </c>
    </row>
    <row r="78" customFormat="false" ht="35.05" hidden="false" customHeight="false" outlineLevel="0" collapsed="false">
      <c r="A78" s="6" t="s">
        <v>232</v>
      </c>
      <c r="B78" s="6" t="s">
        <v>25</v>
      </c>
      <c r="C78" s="6" t="s">
        <v>57</v>
      </c>
      <c r="D78" s="6" t="s">
        <v>233</v>
      </c>
      <c r="E78" s="6" t="s">
        <v>54</v>
      </c>
      <c r="F78" s="6" t="s">
        <v>36</v>
      </c>
      <c r="G78" s="6" t="n">
        <v>0.294</v>
      </c>
      <c r="H78" s="6" t="s">
        <v>234</v>
      </c>
      <c r="I78" s="6" t="s">
        <v>233</v>
      </c>
    </row>
    <row r="79" customFormat="false" ht="35.05" hidden="false" customHeight="false" outlineLevel="0" collapsed="false">
      <c r="A79" s="6" t="s">
        <v>232</v>
      </c>
      <c r="B79" s="6" t="s">
        <v>25</v>
      </c>
      <c r="C79" s="6" t="s">
        <v>76</v>
      </c>
      <c r="D79" s="6" t="s">
        <v>235</v>
      </c>
      <c r="E79" s="6" t="s">
        <v>54</v>
      </c>
      <c r="F79" s="6" t="s">
        <v>36</v>
      </c>
      <c r="G79" s="6" t="n">
        <v>0.478</v>
      </c>
      <c r="H79" s="6" t="s">
        <v>236</v>
      </c>
      <c r="I79" s="6" t="s">
        <v>237</v>
      </c>
    </row>
    <row r="80" customFormat="false" ht="15" hidden="false" customHeight="false" outlineLevel="0" collapsed="false">
      <c r="A80" s="6" t="s">
        <v>238</v>
      </c>
      <c r="B80" s="6" t="s">
        <v>25</v>
      </c>
      <c r="C80" s="6" t="s">
        <v>57</v>
      </c>
      <c r="D80" s="6" t="s">
        <v>175</v>
      </c>
      <c r="E80" s="6" t="s">
        <v>54</v>
      </c>
      <c r="F80" s="6" t="s">
        <v>38</v>
      </c>
      <c r="G80" s="6" t="n">
        <v>0.889</v>
      </c>
      <c r="H80" s="6" t="s">
        <v>239</v>
      </c>
      <c r="I80" s="6" t="s">
        <v>175</v>
      </c>
    </row>
    <row r="81" customFormat="false" ht="23.85" hidden="false" customHeight="false" outlineLevel="0" collapsed="false">
      <c r="A81" s="6" t="s">
        <v>238</v>
      </c>
      <c r="B81" s="6" t="s">
        <v>25</v>
      </c>
      <c r="C81" s="6" t="s">
        <v>57</v>
      </c>
      <c r="D81" s="6" t="s">
        <v>175</v>
      </c>
      <c r="E81" s="6" t="s">
        <v>54</v>
      </c>
      <c r="F81" s="6" t="s">
        <v>36</v>
      </c>
      <c r="G81" s="6" t="n">
        <v>0.846</v>
      </c>
      <c r="H81" s="6" t="s">
        <v>240</v>
      </c>
      <c r="I81" s="6" t="s">
        <v>175</v>
      </c>
    </row>
    <row r="82" customFormat="false" ht="35.05" hidden="false" customHeight="false" outlineLevel="0" collapsed="false">
      <c r="A82" s="6" t="s">
        <v>241</v>
      </c>
      <c r="B82" s="6" t="s">
        <v>25</v>
      </c>
      <c r="C82" s="6" t="s">
        <v>57</v>
      </c>
      <c r="D82" s="6" t="s">
        <v>103</v>
      </c>
      <c r="E82" s="6" t="s">
        <v>54</v>
      </c>
      <c r="F82" s="6" t="s">
        <v>36</v>
      </c>
      <c r="G82" s="6" t="n">
        <v>0.92</v>
      </c>
      <c r="H82" s="6" t="s">
        <v>242</v>
      </c>
      <c r="I82" s="6" t="s">
        <v>103</v>
      </c>
    </row>
    <row r="83" customFormat="false" ht="35.05" hidden="false" customHeight="false" outlineLevel="0" collapsed="false">
      <c r="A83" s="6" t="s">
        <v>241</v>
      </c>
      <c r="B83" s="6" t="s">
        <v>25</v>
      </c>
      <c r="C83" s="6" t="s">
        <v>117</v>
      </c>
      <c r="D83" s="6" t="s">
        <v>243</v>
      </c>
      <c r="E83" s="6" t="s">
        <v>54</v>
      </c>
      <c r="F83" s="6" t="s">
        <v>36</v>
      </c>
      <c r="G83" s="6" t="n">
        <v>0.44</v>
      </c>
      <c r="H83" s="6" t="s">
        <v>244</v>
      </c>
      <c r="I83" s="6" t="s">
        <v>243</v>
      </c>
    </row>
    <row r="84" customFormat="false" ht="35.05" hidden="false" customHeight="false" outlineLevel="0" collapsed="false">
      <c r="A84" s="6" t="s">
        <v>245</v>
      </c>
      <c r="B84" s="6" t="s">
        <v>27</v>
      </c>
      <c r="C84" s="6" t="s">
        <v>52</v>
      </c>
      <c r="D84" s="6" t="s">
        <v>246</v>
      </c>
      <c r="E84" s="6" t="s">
        <v>54</v>
      </c>
      <c r="F84" s="6" t="s">
        <v>38</v>
      </c>
      <c r="G84" s="6" t="n">
        <v>1</v>
      </c>
      <c r="H84" s="6" t="s">
        <v>247</v>
      </c>
      <c r="I84" s="6" t="s">
        <v>246</v>
      </c>
    </row>
    <row r="85" customFormat="false" ht="23.85" hidden="false" customHeight="false" outlineLevel="0" collapsed="false">
      <c r="A85" s="6" t="s">
        <v>245</v>
      </c>
      <c r="B85" s="6" t="s">
        <v>27</v>
      </c>
      <c r="C85" s="6" t="s">
        <v>76</v>
      </c>
      <c r="D85" s="6" t="s">
        <v>246</v>
      </c>
      <c r="E85" s="6" t="s">
        <v>54</v>
      </c>
      <c r="F85" s="6" t="s">
        <v>36</v>
      </c>
      <c r="G85" s="6" t="n">
        <v>1</v>
      </c>
      <c r="H85" s="6" t="s">
        <v>248</v>
      </c>
      <c r="I85" s="6" t="s">
        <v>246</v>
      </c>
    </row>
    <row r="86" customFormat="false" ht="23.85" hidden="false" customHeight="false" outlineLevel="0" collapsed="false">
      <c r="A86" s="6" t="s">
        <v>249</v>
      </c>
      <c r="B86" s="6" t="s">
        <v>26</v>
      </c>
      <c r="C86" s="6" t="s">
        <v>76</v>
      </c>
      <c r="D86" s="6" t="s">
        <v>153</v>
      </c>
      <c r="E86" s="6" t="s">
        <v>54</v>
      </c>
      <c r="F86" s="6" t="s">
        <v>38</v>
      </c>
      <c r="G86" s="6" t="n">
        <v>0.667</v>
      </c>
      <c r="H86" s="6" t="s">
        <v>250</v>
      </c>
      <c r="I86" s="6" t="s">
        <v>251</v>
      </c>
    </row>
    <row r="87" customFormat="false" ht="23.85" hidden="false" customHeight="false" outlineLevel="0" collapsed="false">
      <c r="A87" s="6" t="s">
        <v>249</v>
      </c>
      <c r="B87" s="6" t="s">
        <v>26</v>
      </c>
      <c r="C87" s="6" t="s">
        <v>76</v>
      </c>
      <c r="D87" s="6" t="s">
        <v>153</v>
      </c>
      <c r="E87" s="6" t="s">
        <v>54</v>
      </c>
      <c r="F87" s="6" t="s">
        <v>38</v>
      </c>
      <c r="G87" s="6" t="n">
        <v>0.857</v>
      </c>
      <c r="H87" s="6" t="s">
        <v>252</v>
      </c>
      <c r="I87" s="6" t="s">
        <v>251</v>
      </c>
    </row>
    <row r="88" customFormat="false" ht="35.05" hidden="false" customHeight="false" outlineLevel="0" collapsed="false">
      <c r="A88" s="6" t="s">
        <v>253</v>
      </c>
      <c r="B88" s="6" t="s">
        <v>27</v>
      </c>
      <c r="C88" s="6" t="s">
        <v>117</v>
      </c>
      <c r="D88" s="6" t="s">
        <v>254</v>
      </c>
      <c r="E88" s="6" t="s">
        <v>54</v>
      </c>
      <c r="F88" s="6" t="s">
        <v>36</v>
      </c>
      <c r="G88" s="6" t="n">
        <v>0.438</v>
      </c>
      <c r="H88" s="6" t="s">
        <v>255</v>
      </c>
      <c r="I88" s="6" t="s">
        <v>254</v>
      </c>
    </row>
    <row r="89" customFormat="false" ht="35.05" hidden="false" customHeight="false" outlineLevel="0" collapsed="false">
      <c r="A89" s="6" t="s">
        <v>253</v>
      </c>
      <c r="B89" s="6" t="s">
        <v>27</v>
      </c>
      <c r="C89" s="6" t="s">
        <v>117</v>
      </c>
      <c r="D89" s="6" t="s">
        <v>254</v>
      </c>
      <c r="E89" s="6" t="s">
        <v>54</v>
      </c>
      <c r="F89" s="6" t="s">
        <v>36</v>
      </c>
      <c r="G89" s="6" t="n">
        <v>0.5</v>
      </c>
      <c r="H89" s="6" t="s">
        <v>256</v>
      </c>
      <c r="I89" s="6" t="s">
        <v>254</v>
      </c>
    </row>
    <row r="90" customFormat="false" ht="46.25" hidden="false" customHeight="false" outlineLevel="0" collapsed="false">
      <c r="A90" s="6" t="s">
        <v>257</v>
      </c>
      <c r="B90" s="6" t="s">
        <v>27</v>
      </c>
      <c r="C90" s="6" t="s">
        <v>117</v>
      </c>
      <c r="D90" s="6" t="s">
        <v>258</v>
      </c>
      <c r="E90" s="6" t="s">
        <v>54</v>
      </c>
      <c r="F90" s="6" t="s">
        <v>38</v>
      </c>
      <c r="G90" s="6" t="n">
        <v>1</v>
      </c>
      <c r="H90" s="6" t="s">
        <v>259</v>
      </c>
      <c r="I90" s="6" t="s">
        <v>258</v>
      </c>
    </row>
    <row r="91" customFormat="false" ht="23.85" hidden="false" customHeight="false" outlineLevel="0" collapsed="false">
      <c r="A91" s="6" t="s">
        <v>257</v>
      </c>
      <c r="B91" s="6" t="s">
        <v>27</v>
      </c>
      <c r="C91" s="6" t="s">
        <v>57</v>
      </c>
      <c r="D91" s="6" t="s">
        <v>260</v>
      </c>
      <c r="E91" s="6" t="s">
        <v>54</v>
      </c>
      <c r="F91" s="6" t="s">
        <v>38</v>
      </c>
      <c r="G91" s="6" t="n">
        <v>1</v>
      </c>
      <c r="H91" s="6" t="s">
        <v>261</v>
      </c>
      <c r="I91" s="6" t="s">
        <v>260</v>
      </c>
    </row>
    <row r="92" customFormat="false" ht="23.85" hidden="false" customHeight="false" outlineLevel="0" collapsed="false">
      <c r="A92" s="6" t="s">
        <v>262</v>
      </c>
      <c r="B92" s="6" t="s">
        <v>29</v>
      </c>
      <c r="C92" s="6" t="s">
        <v>76</v>
      </c>
      <c r="D92" s="6" t="s">
        <v>108</v>
      </c>
      <c r="E92" s="6" t="s">
        <v>54</v>
      </c>
      <c r="F92" s="6" t="s">
        <v>36</v>
      </c>
      <c r="G92" s="6" t="n">
        <v>0.727</v>
      </c>
      <c r="H92" s="6" t="s">
        <v>263</v>
      </c>
      <c r="I92" s="6" t="s">
        <v>110</v>
      </c>
    </row>
    <row r="93" customFormat="false" ht="23.85" hidden="false" customHeight="false" outlineLevel="0" collapsed="false">
      <c r="A93" s="6" t="s">
        <v>262</v>
      </c>
      <c r="B93" s="6" t="s">
        <v>29</v>
      </c>
      <c r="C93" s="6" t="s">
        <v>76</v>
      </c>
      <c r="D93" s="6" t="s">
        <v>108</v>
      </c>
      <c r="E93" s="6" t="s">
        <v>54</v>
      </c>
      <c r="F93" s="6" t="s">
        <v>36</v>
      </c>
      <c r="G93" s="6" t="n">
        <v>0.583</v>
      </c>
      <c r="H93" s="6" t="s">
        <v>264</v>
      </c>
      <c r="I93" s="6" t="s">
        <v>110</v>
      </c>
    </row>
    <row r="94" customFormat="false" ht="23.85" hidden="false" customHeight="false" outlineLevel="0" collapsed="false">
      <c r="A94" s="6" t="s">
        <v>265</v>
      </c>
      <c r="B94" s="6" t="s">
        <v>29</v>
      </c>
      <c r="C94" s="6" t="s">
        <v>76</v>
      </c>
      <c r="D94" s="6" t="s">
        <v>266</v>
      </c>
      <c r="E94" s="6" t="s">
        <v>54</v>
      </c>
      <c r="F94" s="6" t="s">
        <v>36</v>
      </c>
      <c r="G94" s="6" t="n">
        <v>0.867</v>
      </c>
      <c r="H94" s="6" t="s">
        <v>267</v>
      </c>
      <c r="I94" s="6" t="s">
        <v>266</v>
      </c>
    </row>
    <row r="95" customFormat="false" ht="35.05" hidden="false" customHeight="false" outlineLevel="0" collapsed="false">
      <c r="A95" s="6" t="s">
        <v>265</v>
      </c>
      <c r="B95" s="6" t="s">
        <v>29</v>
      </c>
      <c r="C95" s="6" t="s">
        <v>76</v>
      </c>
      <c r="D95" s="6" t="s">
        <v>266</v>
      </c>
      <c r="E95" s="6" t="s">
        <v>54</v>
      </c>
      <c r="F95" s="6" t="s">
        <v>36</v>
      </c>
      <c r="G95" s="6" t="n">
        <v>0.75</v>
      </c>
      <c r="H95" s="6" t="s">
        <v>268</v>
      </c>
      <c r="I95" s="6" t="s">
        <v>266</v>
      </c>
    </row>
    <row r="96" customFormat="false" ht="15" hidden="false" customHeight="false" outlineLevel="0" collapsed="false">
      <c r="A96" s="6" t="s">
        <v>269</v>
      </c>
      <c r="B96" s="6" t="s">
        <v>28</v>
      </c>
      <c r="C96" s="6" t="s">
        <v>52</v>
      </c>
      <c r="D96" s="6" t="s">
        <v>270</v>
      </c>
      <c r="E96" s="6" t="s">
        <v>54</v>
      </c>
      <c r="F96" s="6" t="s">
        <v>36</v>
      </c>
      <c r="G96" s="6" t="n">
        <v>0.8</v>
      </c>
      <c r="H96" s="6" t="s">
        <v>271</v>
      </c>
      <c r="I96" s="6" t="s">
        <v>270</v>
      </c>
    </row>
    <row r="97" customFormat="false" ht="15" hidden="false" customHeight="false" outlineLevel="0" collapsed="false">
      <c r="A97" s="6" t="s">
        <v>269</v>
      </c>
      <c r="B97" s="6" t="s">
        <v>28</v>
      </c>
      <c r="C97" s="6" t="s">
        <v>52</v>
      </c>
      <c r="D97" s="6" t="s">
        <v>270</v>
      </c>
      <c r="E97" s="6" t="s">
        <v>54</v>
      </c>
      <c r="F97" s="6" t="s">
        <v>36</v>
      </c>
      <c r="G97" s="6" t="n">
        <v>0.8</v>
      </c>
      <c r="H97" s="6" t="s">
        <v>272</v>
      </c>
      <c r="I97" s="6" t="s">
        <v>270</v>
      </c>
    </row>
    <row r="98" customFormat="false" ht="15" hidden="false" customHeight="false" outlineLevel="0" collapsed="false">
      <c r="A98" s="6" t="s">
        <v>269</v>
      </c>
      <c r="B98" s="6" t="s">
        <v>28</v>
      </c>
      <c r="C98" s="6" t="s">
        <v>52</v>
      </c>
      <c r="D98" s="6" t="s">
        <v>270</v>
      </c>
      <c r="E98" s="6" t="s">
        <v>54</v>
      </c>
      <c r="F98" s="6" t="s">
        <v>36</v>
      </c>
      <c r="G98" s="6" t="n">
        <v>0.833</v>
      </c>
      <c r="H98" s="6" t="s">
        <v>273</v>
      </c>
      <c r="I98" s="6" t="s">
        <v>270</v>
      </c>
    </row>
    <row r="99" customFormat="false" ht="23.85" hidden="false" customHeight="false" outlineLevel="0" collapsed="false">
      <c r="A99" s="6" t="s">
        <v>274</v>
      </c>
      <c r="B99" s="6" t="s">
        <v>28</v>
      </c>
      <c r="C99" s="6" t="s">
        <v>52</v>
      </c>
      <c r="D99" s="6" t="s">
        <v>275</v>
      </c>
      <c r="E99" s="6" t="s">
        <v>54</v>
      </c>
      <c r="F99" s="6" t="s">
        <v>36</v>
      </c>
      <c r="G99" s="6" t="n">
        <v>1</v>
      </c>
      <c r="H99" s="6" t="s">
        <v>276</v>
      </c>
      <c r="I99" s="6" t="s">
        <v>275</v>
      </c>
    </row>
    <row r="100" customFormat="false" ht="23.85" hidden="false" customHeight="false" outlineLevel="0" collapsed="false">
      <c r="A100" s="6" t="s">
        <v>274</v>
      </c>
      <c r="B100" s="6" t="s">
        <v>28</v>
      </c>
      <c r="C100" s="6" t="s">
        <v>76</v>
      </c>
      <c r="D100" s="6" t="s">
        <v>125</v>
      </c>
      <c r="E100" s="6" t="s">
        <v>54</v>
      </c>
      <c r="F100" s="6" t="s">
        <v>36</v>
      </c>
      <c r="G100" s="6" t="n">
        <v>0.4</v>
      </c>
      <c r="H100" s="6" t="s">
        <v>277</v>
      </c>
      <c r="I100" s="6" t="s">
        <v>125</v>
      </c>
    </row>
    <row r="101" customFormat="false" ht="23.85" hidden="false" customHeight="false" outlineLevel="0" collapsed="false">
      <c r="A101" s="6" t="s">
        <v>274</v>
      </c>
      <c r="B101" s="6" t="s">
        <v>28</v>
      </c>
      <c r="C101" s="6" t="s">
        <v>76</v>
      </c>
      <c r="D101" s="6" t="s">
        <v>125</v>
      </c>
      <c r="E101" s="6" t="s">
        <v>54</v>
      </c>
      <c r="F101" s="6" t="s">
        <v>36</v>
      </c>
      <c r="G101" s="6" t="n">
        <v>0.9</v>
      </c>
      <c r="H101" s="6" t="s">
        <v>278</v>
      </c>
      <c r="I101" s="6" t="s">
        <v>125</v>
      </c>
    </row>
    <row r="102" customFormat="false" ht="23.85" hidden="false" customHeight="false" outlineLevel="0" collapsed="false">
      <c r="A102" s="6" t="s">
        <v>274</v>
      </c>
      <c r="B102" s="6" t="s">
        <v>28</v>
      </c>
      <c r="C102" s="6" t="s">
        <v>57</v>
      </c>
      <c r="D102" s="6" t="s">
        <v>279</v>
      </c>
      <c r="E102" s="6" t="s">
        <v>54</v>
      </c>
      <c r="F102" s="6" t="s">
        <v>36</v>
      </c>
      <c r="G102" s="6" t="n">
        <v>0.833</v>
      </c>
      <c r="H102" s="6" t="s">
        <v>280</v>
      </c>
      <c r="I102" s="6" t="s">
        <v>279</v>
      </c>
    </row>
    <row r="103" customFormat="false" ht="23.85" hidden="false" customHeight="false" outlineLevel="0" collapsed="false">
      <c r="A103" s="6" t="s">
        <v>281</v>
      </c>
      <c r="B103" s="6" t="s">
        <v>28</v>
      </c>
      <c r="C103" s="6" t="s">
        <v>52</v>
      </c>
      <c r="D103" s="6" t="s">
        <v>143</v>
      </c>
      <c r="E103" s="6" t="s">
        <v>54</v>
      </c>
      <c r="F103" s="6" t="s">
        <v>36</v>
      </c>
      <c r="G103" s="6" t="n">
        <v>0.933</v>
      </c>
      <c r="H103" s="6" t="s">
        <v>282</v>
      </c>
      <c r="I103" s="6" t="s">
        <v>143</v>
      </c>
    </row>
    <row r="104" customFormat="false" ht="35.05" hidden="false" customHeight="false" outlineLevel="0" collapsed="false">
      <c r="A104" s="6" t="s">
        <v>281</v>
      </c>
      <c r="B104" s="6" t="s">
        <v>28</v>
      </c>
      <c r="C104" s="6" t="s">
        <v>52</v>
      </c>
      <c r="D104" s="6" t="s">
        <v>143</v>
      </c>
      <c r="E104" s="6" t="s">
        <v>54</v>
      </c>
      <c r="F104" s="6" t="s">
        <v>36</v>
      </c>
      <c r="G104" s="6" t="n">
        <v>0.947</v>
      </c>
      <c r="H104" s="6" t="s">
        <v>283</v>
      </c>
      <c r="I104" s="6" t="s">
        <v>143</v>
      </c>
    </row>
    <row r="105" customFormat="false" ht="23.85" hidden="false" customHeight="false" outlineLevel="0" collapsed="false">
      <c r="A105" s="6" t="s">
        <v>281</v>
      </c>
      <c r="B105" s="6" t="s">
        <v>28</v>
      </c>
      <c r="C105" s="6" t="s">
        <v>76</v>
      </c>
      <c r="D105" s="6" t="s">
        <v>284</v>
      </c>
      <c r="E105" s="6" t="s">
        <v>54</v>
      </c>
      <c r="F105" s="6" t="s">
        <v>36</v>
      </c>
      <c r="G105" s="6" t="n">
        <v>0.727</v>
      </c>
      <c r="H105" s="6" t="s">
        <v>285</v>
      </c>
      <c r="I105" s="6" t="s">
        <v>286</v>
      </c>
    </row>
  </sheetData>
  <autoFilter ref="A1:I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2"/>
    <col collapsed="false" customWidth="true" hidden="false" outlineLevel="0" max="3" min="3" style="0" width="20"/>
    <col collapsed="false" customWidth="true" hidden="false" outlineLevel="0" max="4" min="4" style="0" width="8"/>
    <col collapsed="false" customWidth="true" hidden="false" outlineLevel="0" max="5" min="5" style="0" width="20"/>
    <col collapsed="false" customWidth="true" hidden="false" outlineLevel="0" max="6" min="6" style="0" width="78"/>
    <col collapsed="false" customWidth="true" hidden="false" outlineLevel="0" max="7" min="7" style="0" width="14"/>
    <col collapsed="false" customWidth="true" hidden="false" outlineLevel="0" max="8" min="8" style="0" width="18"/>
    <col collapsed="false" customWidth="true" hidden="false" outlineLevel="0" max="9" min="9" style="0" width="26"/>
    <col collapsed="false" customWidth="true" hidden="false" outlineLevel="0" max="10" min="10" style="0" width="14"/>
    <col collapsed="false" customWidth="true" hidden="false" outlineLevel="0" max="11" min="11" style="0" width="9"/>
  </cols>
  <sheetData>
    <row r="1" customFormat="false" ht="15" hidden="false" customHeight="false" outlineLevel="0" collapsed="false">
      <c r="A1" s="4" t="s">
        <v>43</v>
      </c>
      <c r="B1" s="4" t="s">
        <v>287</v>
      </c>
      <c r="C1" s="4" t="s">
        <v>18</v>
      </c>
      <c r="D1" s="4" t="s">
        <v>44</v>
      </c>
      <c r="E1" s="4" t="s">
        <v>45</v>
      </c>
      <c r="F1" s="4" t="s">
        <v>49</v>
      </c>
      <c r="G1" s="4" t="s">
        <v>288</v>
      </c>
      <c r="H1" s="4" t="s">
        <v>289</v>
      </c>
      <c r="I1" s="4" t="s">
        <v>290</v>
      </c>
      <c r="J1" s="4" t="s">
        <v>47</v>
      </c>
      <c r="K1" s="4" t="s">
        <v>48</v>
      </c>
    </row>
    <row r="2" customFormat="false" ht="35.05" hidden="false" customHeight="false" outlineLevel="0" collapsed="false">
      <c r="A2" s="6" t="s">
        <v>291</v>
      </c>
      <c r="B2" s="6" t="s">
        <v>292</v>
      </c>
      <c r="C2" s="6" t="s">
        <v>28</v>
      </c>
      <c r="D2" s="6" t="s">
        <v>52</v>
      </c>
      <c r="E2" s="6" t="s">
        <v>293</v>
      </c>
      <c r="F2" s="6" t="s">
        <v>294</v>
      </c>
      <c r="G2" s="14"/>
      <c r="H2" s="14"/>
      <c r="I2" s="14"/>
      <c r="J2" s="6" t="s">
        <v>38</v>
      </c>
      <c r="K2" s="6" t="n">
        <v>0.92</v>
      </c>
    </row>
    <row r="3" customFormat="false" ht="46.25" hidden="false" customHeight="false" outlineLevel="0" collapsed="false">
      <c r="A3" s="6" t="s">
        <v>291</v>
      </c>
      <c r="B3" s="6" t="s">
        <v>292</v>
      </c>
      <c r="C3" s="6" t="s">
        <v>28</v>
      </c>
      <c r="D3" s="6" t="s">
        <v>57</v>
      </c>
      <c r="E3" s="6" t="s">
        <v>295</v>
      </c>
      <c r="F3" s="6" t="s">
        <v>296</v>
      </c>
      <c r="G3" s="14"/>
      <c r="H3" s="14"/>
      <c r="I3" s="14"/>
      <c r="J3" s="6" t="s">
        <v>36</v>
      </c>
      <c r="K3" s="6" t="n">
        <v>0.207</v>
      </c>
    </row>
    <row r="4" customFormat="false" ht="35.05" hidden="false" customHeight="false" outlineLevel="0" collapsed="false">
      <c r="A4" s="6" t="s">
        <v>297</v>
      </c>
      <c r="B4" s="6" t="s">
        <v>298</v>
      </c>
      <c r="C4" s="6" t="s">
        <v>28</v>
      </c>
      <c r="D4" s="6" t="s">
        <v>52</v>
      </c>
      <c r="E4" s="6" t="s">
        <v>187</v>
      </c>
      <c r="F4" s="6" t="s">
        <v>299</v>
      </c>
      <c r="G4" s="14"/>
      <c r="H4" s="14"/>
      <c r="I4" s="14"/>
      <c r="J4" s="6" t="s">
        <v>36</v>
      </c>
      <c r="K4" s="6" t="n">
        <v>1</v>
      </c>
    </row>
    <row r="5" customFormat="false" ht="35.05" hidden="false" customHeight="false" outlineLevel="0" collapsed="false">
      <c r="A5" s="6" t="s">
        <v>297</v>
      </c>
      <c r="B5" s="6" t="s">
        <v>298</v>
      </c>
      <c r="C5" s="6" t="s">
        <v>28</v>
      </c>
      <c r="D5" s="6" t="s">
        <v>52</v>
      </c>
      <c r="E5" s="6" t="s">
        <v>187</v>
      </c>
      <c r="F5" s="6" t="s">
        <v>300</v>
      </c>
      <c r="G5" s="14"/>
      <c r="H5" s="14"/>
      <c r="I5" s="14"/>
      <c r="J5" s="6" t="s">
        <v>38</v>
      </c>
      <c r="K5" s="6" t="n">
        <v>1</v>
      </c>
    </row>
    <row r="6" customFormat="false" ht="35.05" hidden="false" customHeight="false" outlineLevel="0" collapsed="false">
      <c r="A6" s="6" t="s">
        <v>297</v>
      </c>
      <c r="B6" s="6" t="s">
        <v>298</v>
      </c>
      <c r="C6" s="6" t="s">
        <v>28</v>
      </c>
      <c r="D6" s="6" t="s">
        <v>52</v>
      </c>
      <c r="E6" s="6" t="s">
        <v>187</v>
      </c>
      <c r="F6" s="6" t="s">
        <v>301</v>
      </c>
      <c r="G6" s="14"/>
      <c r="H6" s="14"/>
      <c r="I6" s="14"/>
      <c r="J6" s="6" t="s">
        <v>38</v>
      </c>
      <c r="K6" s="6" t="n">
        <v>1</v>
      </c>
    </row>
    <row r="7" customFormat="false" ht="35.05" hidden="false" customHeight="false" outlineLevel="0" collapsed="false">
      <c r="A7" s="6" t="s">
        <v>297</v>
      </c>
      <c r="B7" s="6" t="s">
        <v>298</v>
      </c>
      <c r="C7" s="6" t="s">
        <v>28</v>
      </c>
      <c r="D7" s="6" t="s">
        <v>52</v>
      </c>
      <c r="E7" s="6" t="s">
        <v>187</v>
      </c>
      <c r="F7" s="6" t="s">
        <v>302</v>
      </c>
      <c r="G7" s="14"/>
      <c r="H7" s="14"/>
      <c r="I7" s="14"/>
      <c r="J7" s="6" t="s">
        <v>36</v>
      </c>
      <c r="K7" s="6" t="n">
        <v>1</v>
      </c>
    </row>
    <row r="8" customFormat="false" ht="35.05" hidden="false" customHeight="false" outlineLevel="0" collapsed="false">
      <c r="A8" s="6" t="s">
        <v>303</v>
      </c>
      <c r="B8" s="6" t="s">
        <v>304</v>
      </c>
      <c r="C8" s="6" t="s">
        <v>28</v>
      </c>
      <c r="D8" s="6" t="s">
        <v>52</v>
      </c>
      <c r="E8" s="6" t="s">
        <v>147</v>
      </c>
      <c r="F8" s="6" t="s">
        <v>305</v>
      </c>
      <c r="G8" s="14"/>
      <c r="H8" s="14"/>
      <c r="I8" s="14"/>
      <c r="J8" s="6" t="s">
        <v>36</v>
      </c>
      <c r="K8" s="6" t="n">
        <v>0.882</v>
      </c>
    </row>
    <row r="9" customFormat="false" ht="23.85" hidden="false" customHeight="false" outlineLevel="0" collapsed="false">
      <c r="A9" s="6" t="s">
        <v>303</v>
      </c>
      <c r="B9" s="6" t="s">
        <v>304</v>
      </c>
      <c r="C9" s="6" t="s">
        <v>28</v>
      </c>
      <c r="D9" s="6" t="s">
        <v>76</v>
      </c>
      <c r="E9" s="6" t="s">
        <v>149</v>
      </c>
      <c r="F9" s="6" t="s">
        <v>306</v>
      </c>
      <c r="G9" s="14"/>
      <c r="H9" s="14"/>
      <c r="I9" s="14"/>
      <c r="J9" s="6" t="s">
        <v>38</v>
      </c>
      <c r="K9" s="6" t="n">
        <v>1</v>
      </c>
    </row>
    <row r="10" customFormat="false" ht="113.4" hidden="false" customHeight="false" outlineLevel="0" collapsed="false">
      <c r="A10" s="6" t="s">
        <v>307</v>
      </c>
      <c r="B10" s="6" t="s">
        <v>308</v>
      </c>
      <c r="C10" s="6" t="s">
        <v>28</v>
      </c>
      <c r="D10" s="6" t="s">
        <v>76</v>
      </c>
      <c r="E10" s="6" t="s">
        <v>309</v>
      </c>
      <c r="F10" s="6" t="s">
        <v>310</v>
      </c>
      <c r="G10" s="14"/>
      <c r="H10" s="14"/>
      <c r="I10" s="14"/>
      <c r="J10" s="6" t="s">
        <v>36</v>
      </c>
      <c r="K10" s="6" t="n">
        <v>0.977</v>
      </c>
    </row>
    <row r="11" customFormat="false" ht="68.65" hidden="false" customHeight="false" outlineLevel="0" collapsed="false">
      <c r="A11" s="6" t="s">
        <v>307</v>
      </c>
      <c r="B11" s="6" t="s">
        <v>308</v>
      </c>
      <c r="C11" s="6" t="s">
        <v>28</v>
      </c>
      <c r="D11" s="6" t="s">
        <v>76</v>
      </c>
      <c r="E11" s="6" t="s">
        <v>309</v>
      </c>
      <c r="F11" s="6" t="s">
        <v>311</v>
      </c>
      <c r="G11" s="14"/>
      <c r="H11" s="14"/>
      <c r="I11" s="14"/>
      <c r="J11" s="6" t="s">
        <v>36</v>
      </c>
      <c r="K11" s="6" t="n">
        <v>0.977</v>
      </c>
    </row>
    <row r="12" customFormat="false" ht="35.05" hidden="false" customHeight="false" outlineLevel="0" collapsed="false">
      <c r="A12" s="6" t="s">
        <v>312</v>
      </c>
      <c r="B12" s="6" t="s">
        <v>313</v>
      </c>
      <c r="C12" s="6" t="s">
        <v>28</v>
      </c>
      <c r="D12" s="6" t="s">
        <v>52</v>
      </c>
      <c r="E12" s="6" t="s">
        <v>108</v>
      </c>
      <c r="F12" s="6" t="s">
        <v>314</v>
      </c>
      <c r="G12" s="14"/>
      <c r="H12" s="14"/>
      <c r="I12" s="14"/>
      <c r="J12" s="6" t="s">
        <v>36</v>
      </c>
      <c r="K12" s="6" t="n">
        <v>0.6</v>
      </c>
    </row>
    <row r="13" customFormat="false" ht="23.85" hidden="false" customHeight="false" outlineLevel="0" collapsed="false">
      <c r="A13" s="6" t="s">
        <v>312</v>
      </c>
      <c r="B13" s="6" t="s">
        <v>313</v>
      </c>
      <c r="C13" s="6" t="s">
        <v>28</v>
      </c>
      <c r="D13" s="6" t="s">
        <v>52</v>
      </c>
      <c r="E13" s="6" t="s">
        <v>108</v>
      </c>
      <c r="F13" s="6" t="s">
        <v>315</v>
      </c>
      <c r="G13" s="14"/>
      <c r="H13" s="14"/>
      <c r="I13" s="14"/>
      <c r="J13" s="6" t="s">
        <v>36</v>
      </c>
      <c r="K13" s="6" t="n">
        <v>0.786</v>
      </c>
    </row>
    <row r="14" customFormat="false" ht="23.85" hidden="false" customHeight="false" outlineLevel="0" collapsed="false">
      <c r="A14" s="6" t="s">
        <v>316</v>
      </c>
      <c r="B14" s="6" t="s">
        <v>317</v>
      </c>
      <c r="C14" s="6" t="s">
        <v>28</v>
      </c>
      <c r="D14" s="6" t="s">
        <v>52</v>
      </c>
      <c r="E14" s="6" t="s">
        <v>318</v>
      </c>
      <c r="F14" s="6" t="s">
        <v>319</v>
      </c>
      <c r="G14" s="14"/>
      <c r="H14" s="14"/>
      <c r="I14" s="14"/>
      <c r="J14" s="6" t="s">
        <v>36</v>
      </c>
      <c r="K14" s="6" t="n">
        <v>0.9</v>
      </c>
    </row>
    <row r="15" customFormat="false" ht="23.85" hidden="false" customHeight="false" outlineLevel="0" collapsed="false">
      <c r="A15" s="6" t="s">
        <v>316</v>
      </c>
      <c r="B15" s="6" t="s">
        <v>317</v>
      </c>
      <c r="C15" s="6" t="s">
        <v>28</v>
      </c>
      <c r="D15" s="6" t="s">
        <v>52</v>
      </c>
      <c r="E15" s="6" t="s">
        <v>318</v>
      </c>
      <c r="F15" s="6" t="s">
        <v>320</v>
      </c>
      <c r="G15" s="14"/>
      <c r="H15" s="14"/>
      <c r="I15" s="14"/>
      <c r="J15" s="6" t="s">
        <v>36</v>
      </c>
      <c r="K15" s="6" t="n">
        <v>0.929</v>
      </c>
    </row>
    <row r="16" customFormat="false" ht="35.05" hidden="false" customHeight="false" outlineLevel="0" collapsed="false">
      <c r="A16" s="6" t="s">
        <v>321</v>
      </c>
      <c r="B16" s="6" t="s">
        <v>322</v>
      </c>
      <c r="C16" s="6" t="s">
        <v>323</v>
      </c>
      <c r="D16" s="6" t="s">
        <v>76</v>
      </c>
      <c r="E16" s="6" t="s">
        <v>100</v>
      </c>
      <c r="F16" s="6" t="s">
        <v>324</v>
      </c>
      <c r="G16" s="14"/>
      <c r="H16" s="14"/>
      <c r="I16" s="14"/>
      <c r="J16" s="6" t="s">
        <v>36</v>
      </c>
      <c r="K16" s="6" t="n">
        <v>0.846</v>
      </c>
    </row>
    <row r="17" customFormat="false" ht="35.05" hidden="false" customHeight="false" outlineLevel="0" collapsed="false">
      <c r="A17" s="6" t="s">
        <v>321</v>
      </c>
      <c r="B17" s="6" t="s">
        <v>322</v>
      </c>
      <c r="C17" s="6" t="s">
        <v>323</v>
      </c>
      <c r="D17" s="6" t="s">
        <v>76</v>
      </c>
      <c r="E17" s="6" t="s">
        <v>100</v>
      </c>
      <c r="F17" s="6" t="s">
        <v>325</v>
      </c>
      <c r="G17" s="14"/>
      <c r="H17" s="14"/>
      <c r="I17" s="14"/>
      <c r="J17" s="6" t="s">
        <v>36</v>
      </c>
      <c r="K17" s="6" t="n">
        <v>0.889</v>
      </c>
    </row>
    <row r="18" customFormat="false" ht="23.85" hidden="false" customHeight="false" outlineLevel="0" collapsed="false">
      <c r="A18" s="6" t="s">
        <v>326</v>
      </c>
      <c r="B18" s="6" t="s">
        <v>327</v>
      </c>
      <c r="C18" s="6" t="s">
        <v>323</v>
      </c>
      <c r="D18" s="6" t="s">
        <v>57</v>
      </c>
      <c r="E18" s="6" t="s">
        <v>97</v>
      </c>
      <c r="F18" s="6" t="s">
        <v>328</v>
      </c>
      <c r="G18" s="14"/>
      <c r="H18" s="14"/>
      <c r="I18" s="14"/>
      <c r="J18" s="6" t="s">
        <v>36</v>
      </c>
      <c r="K18" s="6" t="n">
        <v>0.429</v>
      </c>
    </row>
    <row r="19" customFormat="false" ht="23.85" hidden="false" customHeight="false" outlineLevel="0" collapsed="false">
      <c r="A19" s="6" t="s">
        <v>326</v>
      </c>
      <c r="B19" s="6" t="s">
        <v>327</v>
      </c>
      <c r="C19" s="6" t="s">
        <v>323</v>
      </c>
      <c r="D19" s="6" t="s">
        <v>57</v>
      </c>
      <c r="E19" s="6" t="s">
        <v>97</v>
      </c>
      <c r="F19" s="6" t="s">
        <v>329</v>
      </c>
      <c r="G19" s="14"/>
      <c r="H19" s="14"/>
      <c r="I19" s="14"/>
      <c r="J19" s="6" t="s">
        <v>36</v>
      </c>
      <c r="K19" s="6" t="n">
        <v>0.857</v>
      </c>
    </row>
    <row r="20" customFormat="false" ht="68.65" hidden="false" customHeight="false" outlineLevel="0" collapsed="false">
      <c r="A20" s="6" t="s">
        <v>330</v>
      </c>
      <c r="B20" s="6" t="s">
        <v>331</v>
      </c>
      <c r="C20" s="6" t="s">
        <v>27</v>
      </c>
      <c r="D20" s="6" t="s">
        <v>52</v>
      </c>
      <c r="E20" s="6" t="s">
        <v>332</v>
      </c>
      <c r="F20" s="6" t="s">
        <v>333</v>
      </c>
      <c r="G20" s="14"/>
      <c r="H20" s="14"/>
      <c r="I20" s="14"/>
      <c r="J20" s="6" t="s">
        <v>36</v>
      </c>
      <c r="K20" s="6" t="n">
        <v>0.368</v>
      </c>
    </row>
    <row r="21" customFormat="false" ht="68.65" hidden="false" customHeight="false" outlineLevel="0" collapsed="false">
      <c r="A21" s="6" t="s">
        <v>330</v>
      </c>
      <c r="B21" s="6" t="s">
        <v>331</v>
      </c>
      <c r="C21" s="6" t="s">
        <v>27</v>
      </c>
      <c r="D21" s="6" t="s">
        <v>57</v>
      </c>
      <c r="E21" s="6" t="s">
        <v>334</v>
      </c>
      <c r="F21" s="6" t="s">
        <v>335</v>
      </c>
      <c r="G21" s="14"/>
      <c r="H21" s="14"/>
      <c r="I21" s="14"/>
      <c r="J21" s="6" t="s">
        <v>36</v>
      </c>
      <c r="K21" s="6" t="n">
        <v>0.368</v>
      </c>
    </row>
    <row r="22" customFormat="false" ht="57.45" hidden="false" customHeight="false" outlineLevel="0" collapsed="false">
      <c r="A22" s="6" t="s">
        <v>336</v>
      </c>
      <c r="B22" s="6" t="s">
        <v>337</v>
      </c>
      <c r="C22" s="6" t="s">
        <v>27</v>
      </c>
      <c r="D22" s="6" t="s">
        <v>76</v>
      </c>
      <c r="E22" s="6" t="s">
        <v>338</v>
      </c>
      <c r="F22" s="6" t="s">
        <v>339</v>
      </c>
      <c r="G22" s="14"/>
      <c r="H22" s="14"/>
      <c r="I22" s="14"/>
      <c r="J22" s="6" t="s">
        <v>36</v>
      </c>
      <c r="K22" s="6" t="n">
        <v>0.974</v>
      </c>
    </row>
    <row r="23" customFormat="false" ht="23.85" hidden="false" customHeight="false" outlineLevel="0" collapsed="false">
      <c r="A23" s="6" t="s">
        <v>340</v>
      </c>
      <c r="B23" s="6" t="s">
        <v>341</v>
      </c>
      <c r="C23" s="6" t="s">
        <v>29</v>
      </c>
      <c r="D23" s="6" t="s">
        <v>76</v>
      </c>
      <c r="E23" s="6" t="s">
        <v>266</v>
      </c>
      <c r="F23" s="6" t="s">
        <v>342</v>
      </c>
      <c r="G23" s="14"/>
      <c r="H23" s="14"/>
      <c r="I23" s="14"/>
      <c r="J23" s="6" t="s">
        <v>36</v>
      </c>
      <c r="K23" s="6" t="n">
        <v>0.75</v>
      </c>
    </row>
    <row r="24" customFormat="false" ht="35.05" hidden="false" customHeight="false" outlineLevel="0" collapsed="false">
      <c r="A24" s="6" t="s">
        <v>340</v>
      </c>
      <c r="B24" s="6" t="s">
        <v>341</v>
      </c>
      <c r="C24" s="6" t="s">
        <v>29</v>
      </c>
      <c r="D24" s="6" t="s">
        <v>76</v>
      </c>
      <c r="E24" s="6" t="s">
        <v>266</v>
      </c>
      <c r="F24" s="6" t="s">
        <v>343</v>
      </c>
      <c r="G24" s="14"/>
      <c r="H24" s="14"/>
      <c r="I24" s="14"/>
      <c r="J24" s="6" t="s">
        <v>36</v>
      </c>
      <c r="K24" s="6" t="n">
        <v>0.882</v>
      </c>
    </row>
    <row r="25" customFormat="false" ht="23.85" hidden="false" customHeight="false" outlineLevel="0" collapsed="false">
      <c r="A25" s="6" t="s">
        <v>344</v>
      </c>
      <c r="B25" s="6" t="s">
        <v>345</v>
      </c>
      <c r="C25" s="6" t="s">
        <v>25</v>
      </c>
      <c r="D25" s="6" t="s">
        <v>52</v>
      </c>
      <c r="E25" s="6" t="s">
        <v>346</v>
      </c>
      <c r="F25" s="6" t="s">
        <v>347</v>
      </c>
      <c r="G25" s="14"/>
      <c r="H25" s="14"/>
      <c r="I25" s="14"/>
      <c r="J25" s="6" t="s">
        <v>38</v>
      </c>
      <c r="K25" s="6" t="n">
        <v>0.857</v>
      </c>
    </row>
    <row r="26" customFormat="false" ht="35.05" hidden="false" customHeight="false" outlineLevel="0" collapsed="false">
      <c r="A26" s="6" t="s">
        <v>344</v>
      </c>
      <c r="B26" s="6" t="s">
        <v>345</v>
      </c>
      <c r="C26" s="6" t="s">
        <v>25</v>
      </c>
      <c r="D26" s="6" t="s">
        <v>117</v>
      </c>
      <c r="E26" s="6" t="s">
        <v>348</v>
      </c>
      <c r="F26" s="6" t="s">
        <v>349</v>
      </c>
      <c r="G26" s="14"/>
      <c r="H26" s="14"/>
      <c r="I26" s="14"/>
      <c r="J26" s="6" t="s">
        <v>36</v>
      </c>
      <c r="K26" s="6" t="n">
        <v>0.789</v>
      </c>
    </row>
    <row r="27" customFormat="false" ht="46.25" hidden="false" customHeight="false" outlineLevel="0" collapsed="false">
      <c r="A27" s="6" t="s">
        <v>350</v>
      </c>
      <c r="B27" s="6" t="s">
        <v>351</v>
      </c>
      <c r="C27" s="6" t="s">
        <v>27</v>
      </c>
      <c r="D27" s="6" t="s">
        <v>52</v>
      </c>
      <c r="E27" s="6" t="s">
        <v>352</v>
      </c>
      <c r="F27" s="6" t="s">
        <v>353</v>
      </c>
      <c r="G27" s="14"/>
      <c r="H27" s="14"/>
      <c r="I27" s="14"/>
      <c r="J27" s="6" t="s">
        <v>38</v>
      </c>
      <c r="K27" s="6" t="n">
        <v>1</v>
      </c>
    </row>
    <row r="28" customFormat="false" ht="46.25" hidden="false" customHeight="false" outlineLevel="0" collapsed="false">
      <c r="A28" s="6" t="s">
        <v>350</v>
      </c>
      <c r="B28" s="6" t="s">
        <v>351</v>
      </c>
      <c r="C28" s="6" t="s">
        <v>27</v>
      </c>
      <c r="D28" s="6" t="s">
        <v>52</v>
      </c>
      <c r="E28" s="6" t="s">
        <v>352</v>
      </c>
      <c r="F28" s="6" t="s">
        <v>354</v>
      </c>
      <c r="G28" s="14"/>
      <c r="H28" s="14"/>
      <c r="I28" s="14"/>
      <c r="J28" s="6" t="s">
        <v>38</v>
      </c>
      <c r="K28" s="6" t="n">
        <v>1</v>
      </c>
    </row>
    <row r="29" customFormat="false" ht="35.05" hidden="false" customHeight="false" outlineLevel="0" collapsed="false">
      <c r="A29" s="6" t="s">
        <v>355</v>
      </c>
      <c r="B29" s="6" t="s">
        <v>356</v>
      </c>
      <c r="C29" s="6" t="s">
        <v>27</v>
      </c>
      <c r="D29" s="6" t="s">
        <v>57</v>
      </c>
      <c r="E29" s="6" t="s">
        <v>357</v>
      </c>
      <c r="F29" s="6" t="s">
        <v>358</v>
      </c>
      <c r="G29" s="14"/>
      <c r="H29" s="14"/>
      <c r="I29" s="14"/>
      <c r="J29" s="6" t="s">
        <v>36</v>
      </c>
      <c r="K29" s="6" t="n">
        <v>0.667</v>
      </c>
    </row>
    <row r="30" customFormat="false" ht="46.25" hidden="false" customHeight="false" outlineLevel="0" collapsed="false">
      <c r="A30" s="6" t="s">
        <v>355</v>
      </c>
      <c r="B30" s="6" t="s">
        <v>356</v>
      </c>
      <c r="C30" s="6" t="s">
        <v>27</v>
      </c>
      <c r="D30" s="6" t="s">
        <v>52</v>
      </c>
      <c r="E30" s="6" t="s">
        <v>359</v>
      </c>
      <c r="F30" s="6" t="s">
        <v>360</v>
      </c>
      <c r="G30" s="14"/>
      <c r="H30" s="14"/>
      <c r="I30" s="14"/>
      <c r="J30" s="6" t="s">
        <v>36</v>
      </c>
      <c r="K30" s="6" t="n">
        <v>0.7</v>
      </c>
    </row>
    <row r="31" customFormat="false" ht="35.05" hidden="false" customHeight="false" outlineLevel="0" collapsed="false">
      <c r="A31" s="6" t="s">
        <v>361</v>
      </c>
      <c r="B31" s="6" t="s">
        <v>362</v>
      </c>
      <c r="C31" s="6" t="s">
        <v>28</v>
      </c>
      <c r="D31" s="6" t="s">
        <v>76</v>
      </c>
      <c r="E31" s="6" t="s">
        <v>363</v>
      </c>
      <c r="F31" s="6" t="s">
        <v>364</v>
      </c>
      <c r="G31" s="14"/>
      <c r="H31" s="14"/>
      <c r="I31" s="14"/>
      <c r="J31" s="6" t="s">
        <v>38</v>
      </c>
      <c r="K31" s="6" t="n">
        <v>0.882</v>
      </c>
    </row>
    <row r="32" customFormat="false" ht="35.05" hidden="false" customHeight="false" outlineLevel="0" collapsed="false">
      <c r="A32" s="6" t="s">
        <v>361</v>
      </c>
      <c r="B32" s="6" t="s">
        <v>362</v>
      </c>
      <c r="C32" s="6" t="s">
        <v>28</v>
      </c>
      <c r="D32" s="6" t="s">
        <v>76</v>
      </c>
      <c r="E32" s="6" t="s">
        <v>363</v>
      </c>
      <c r="F32" s="6" t="s">
        <v>365</v>
      </c>
      <c r="G32" s="14"/>
      <c r="H32" s="14"/>
      <c r="I32" s="14"/>
      <c r="J32" s="6" t="s">
        <v>38</v>
      </c>
      <c r="K32" s="6" t="n">
        <v>1</v>
      </c>
    </row>
    <row r="34" customFormat="false" ht="15" hidden="false" customHeight="false" outlineLevel="0" collapsed="false">
      <c r="A34" s="3" t="s">
        <v>366</v>
      </c>
    </row>
    <row r="35" customFormat="false" ht="15" hidden="false" customHeight="false" outlineLevel="0" collapsed="false">
      <c r="A35" s="2" t="s">
        <v>367</v>
      </c>
    </row>
    <row r="36" customFormat="false" ht="15" hidden="false" customHeight="false" outlineLevel="0" collapsed="false">
      <c r="A36" s="2" t="s">
        <v>368</v>
      </c>
    </row>
    <row r="37" customFormat="false" ht="15" hidden="false" customHeight="false" outlineLevel="0" collapsed="false">
      <c r="A37" s="2" t="s">
        <v>369</v>
      </c>
    </row>
    <row r="38" customFormat="false" ht="15" hidden="false" customHeight="false" outlineLevel="0" collapsed="false">
      <c r="A38" s="2" t="s">
        <v>370</v>
      </c>
    </row>
    <row r="39" customFormat="false" ht="15" hidden="false" customHeight="false" outlineLevel="0" collapsed="false">
      <c r="A39" s="2" t="s">
        <v>371</v>
      </c>
    </row>
    <row r="40" customFormat="false" ht="15" hidden="false" customHeight="false" outlineLevel="0" collapsed="false">
      <c r="A40" s="2" t="s">
        <v>372</v>
      </c>
    </row>
    <row r="41" customFormat="false" ht="15" hidden="false" customHeight="false" outlineLevel="0" collapsed="false">
      <c r="A41" s="2" t="s">
        <v>373</v>
      </c>
    </row>
    <row r="42" customFormat="false" ht="15" hidden="false" customHeight="false" outlineLevel="0" collapsed="false">
      <c r="A42" s="2" t="s">
        <v>374</v>
      </c>
    </row>
    <row r="43" customFormat="false" ht="15" hidden="false" customHeight="false" outlineLevel="0" collapsed="false">
      <c r="A43" s="2" t="s">
        <v>375</v>
      </c>
    </row>
  </sheetData>
  <autoFilter ref="A1:K32"/>
  <dataValidations count="1">
    <dataValidation allowBlank="true" errorStyle="stop" operator="between" showDropDown="false" showErrorMessage="false" showInputMessage="false" sqref="G2:G32" type="list">
      <formula1>"RIGHT,WRONG,UNGRADABLE"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4" min="3" style="0" width="20"/>
    <col collapsed="false" customWidth="true" hidden="false" outlineLevel="0" max="5" min="5" style="0" width="120"/>
  </cols>
  <sheetData>
    <row r="1" customFormat="false" ht="15" hidden="false" customHeight="false" outlineLevel="0" collapsed="false">
      <c r="A1" s="4" t="s">
        <v>43</v>
      </c>
      <c r="B1" s="4" t="s">
        <v>44</v>
      </c>
      <c r="C1" s="4" t="s">
        <v>376</v>
      </c>
      <c r="D1" s="4" t="s">
        <v>377</v>
      </c>
      <c r="E1" s="4" t="s">
        <v>378</v>
      </c>
    </row>
    <row r="2" customFormat="false" ht="35.05" hidden="false" customHeight="false" outlineLevel="0" collapsed="false">
      <c r="A2" s="15" t="s">
        <v>291</v>
      </c>
      <c r="B2" s="15" t="s">
        <v>52</v>
      </c>
      <c r="C2" s="15" t="s">
        <v>379</v>
      </c>
      <c r="D2" s="16" t="s">
        <v>293</v>
      </c>
      <c r="E2" s="15" t="s">
        <v>380</v>
      </c>
    </row>
    <row r="3" customFormat="false" ht="46.25" hidden="false" customHeight="false" outlineLevel="0" collapsed="false">
      <c r="A3" s="6" t="s">
        <v>291</v>
      </c>
      <c r="B3" s="6" t="s">
        <v>76</v>
      </c>
      <c r="C3" s="6" t="s">
        <v>379</v>
      </c>
      <c r="D3" s="6" t="s">
        <v>381</v>
      </c>
      <c r="E3" s="6" t="s">
        <v>382</v>
      </c>
    </row>
    <row r="4" customFormat="false" ht="35.05" hidden="false" customHeight="false" outlineLevel="0" collapsed="false">
      <c r="A4" s="15" t="s">
        <v>291</v>
      </c>
      <c r="B4" s="15" t="s">
        <v>57</v>
      </c>
      <c r="C4" s="15" t="s">
        <v>379</v>
      </c>
      <c r="D4" s="16" t="s">
        <v>295</v>
      </c>
      <c r="E4" s="15" t="s">
        <v>383</v>
      </c>
    </row>
    <row r="5" customFormat="false" ht="35.05" hidden="false" customHeight="false" outlineLevel="0" collapsed="false">
      <c r="A5" s="15" t="s">
        <v>297</v>
      </c>
      <c r="B5" s="15" t="s">
        <v>52</v>
      </c>
      <c r="C5" s="15" t="s">
        <v>384</v>
      </c>
      <c r="D5" s="16" t="s">
        <v>187</v>
      </c>
      <c r="E5" s="15" t="s">
        <v>385</v>
      </c>
    </row>
    <row r="6" customFormat="false" ht="35.05" hidden="false" customHeight="false" outlineLevel="0" collapsed="false">
      <c r="A6" s="15" t="s">
        <v>297</v>
      </c>
      <c r="B6" s="15" t="s">
        <v>52</v>
      </c>
      <c r="C6" s="15" t="s">
        <v>384</v>
      </c>
      <c r="D6" s="16" t="s">
        <v>187</v>
      </c>
      <c r="E6" s="15" t="s">
        <v>386</v>
      </c>
    </row>
    <row r="7" customFormat="false" ht="35.05" hidden="false" customHeight="false" outlineLevel="0" collapsed="false">
      <c r="A7" s="15" t="s">
        <v>297</v>
      </c>
      <c r="B7" s="15" t="s">
        <v>52</v>
      </c>
      <c r="C7" s="15" t="s">
        <v>384</v>
      </c>
      <c r="D7" s="16" t="s">
        <v>187</v>
      </c>
      <c r="E7" s="15" t="s">
        <v>387</v>
      </c>
    </row>
    <row r="8" customFormat="false" ht="46.25" hidden="false" customHeight="false" outlineLevel="0" collapsed="false">
      <c r="A8" s="6" t="s">
        <v>297</v>
      </c>
      <c r="B8" s="6" t="s">
        <v>76</v>
      </c>
      <c r="C8" s="6" t="s">
        <v>384</v>
      </c>
      <c r="D8" s="6" t="s">
        <v>388</v>
      </c>
      <c r="E8" s="6" t="s">
        <v>389</v>
      </c>
    </row>
    <row r="9" customFormat="false" ht="68.65" hidden="false" customHeight="false" outlineLevel="0" collapsed="false">
      <c r="A9" s="6" t="s">
        <v>297</v>
      </c>
      <c r="B9" s="6" t="s">
        <v>57</v>
      </c>
      <c r="C9" s="6" t="s">
        <v>384</v>
      </c>
      <c r="D9" s="6" t="s">
        <v>390</v>
      </c>
      <c r="E9" s="6" t="s">
        <v>391</v>
      </c>
    </row>
    <row r="10" customFormat="false" ht="35.05" hidden="false" customHeight="false" outlineLevel="0" collapsed="false">
      <c r="A10" s="15" t="s">
        <v>303</v>
      </c>
      <c r="B10" s="15" t="s">
        <v>52</v>
      </c>
      <c r="C10" s="15" t="s">
        <v>392</v>
      </c>
      <c r="D10" s="16" t="s">
        <v>147</v>
      </c>
      <c r="E10" s="15" t="s">
        <v>393</v>
      </c>
    </row>
    <row r="11" customFormat="false" ht="23.85" hidden="false" customHeight="false" outlineLevel="0" collapsed="false">
      <c r="A11" s="15" t="s">
        <v>303</v>
      </c>
      <c r="B11" s="15" t="s">
        <v>76</v>
      </c>
      <c r="C11" s="15" t="s">
        <v>392</v>
      </c>
      <c r="D11" s="16" t="s">
        <v>149</v>
      </c>
      <c r="E11" s="15" t="s">
        <v>394</v>
      </c>
    </row>
    <row r="12" customFormat="false" ht="35.05" hidden="false" customHeight="false" outlineLevel="0" collapsed="false">
      <c r="A12" s="6" t="s">
        <v>303</v>
      </c>
      <c r="B12" s="6" t="s">
        <v>76</v>
      </c>
      <c r="C12" s="6" t="s">
        <v>392</v>
      </c>
      <c r="D12" s="6" t="s">
        <v>395</v>
      </c>
      <c r="E12" s="6" t="s">
        <v>396</v>
      </c>
    </row>
    <row r="13" customFormat="false" ht="15" hidden="false" customHeight="false" outlineLevel="0" collapsed="false">
      <c r="A13" s="6" t="s">
        <v>303</v>
      </c>
      <c r="B13" s="6" t="s">
        <v>57</v>
      </c>
      <c r="C13" s="6" t="s">
        <v>392</v>
      </c>
      <c r="D13" s="6"/>
      <c r="E13" s="6" t="s">
        <v>397</v>
      </c>
    </row>
    <row r="14" customFormat="false" ht="35.05" hidden="false" customHeight="false" outlineLevel="0" collapsed="false">
      <c r="A14" s="6" t="s">
        <v>303</v>
      </c>
      <c r="B14" s="6" t="s">
        <v>57</v>
      </c>
      <c r="C14" s="6" t="s">
        <v>392</v>
      </c>
      <c r="D14" s="6" t="s">
        <v>398</v>
      </c>
      <c r="E14" s="6" t="s">
        <v>399</v>
      </c>
    </row>
    <row r="15" customFormat="false" ht="135.8" hidden="false" customHeight="false" outlineLevel="0" collapsed="false">
      <c r="A15" s="6" t="s">
        <v>303</v>
      </c>
      <c r="B15" s="6" t="s">
        <v>57</v>
      </c>
      <c r="C15" s="6" t="s">
        <v>392</v>
      </c>
      <c r="D15" s="6" t="s">
        <v>400</v>
      </c>
      <c r="E15" s="6" t="s">
        <v>401</v>
      </c>
    </row>
    <row r="16" customFormat="false" ht="15" hidden="false" customHeight="false" outlineLevel="0" collapsed="false">
      <c r="A16" s="6" t="s">
        <v>303</v>
      </c>
      <c r="B16" s="6" t="s">
        <v>57</v>
      </c>
      <c r="C16" s="6" t="s">
        <v>392</v>
      </c>
      <c r="D16" s="6"/>
      <c r="E16" s="6" t="s">
        <v>402</v>
      </c>
    </row>
    <row r="17" customFormat="false" ht="102.2" hidden="false" customHeight="false" outlineLevel="0" collapsed="false">
      <c r="A17" s="6" t="s">
        <v>303</v>
      </c>
      <c r="B17" s="6" t="s">
        <v>57</v>
      </c>
      <c r="C17" s="6" t="s">
        <v>392</v>
      </c>
      <c r="D17" s="6" t="s">
        <v>403</v>
      </c>
      <c r="E17" s="6" t="s">
        <v>404</v>
      </c>
    </row>
    <row r="18" customFormat="false" ht="23.85" hidden="false" customHeight="false" outlineLevel="0" collapsed="false">
      <c r="A18" s="6" t="s">
        <v>303</v>
      </c>
      <c r="B18" s="6" t="s">
        <v>117</v>
      </c>
      <c r="C18" s="6" t="s">
        <v>392</v>
      </c>
      <c r="D18" s="6" t="s">
        <v>405</v>
      </c>
      <c r="E18" s="6" t="s">
        <v>406</v>
      </c>
    </row>
    <row r="19" customFormat="false" ht="46.25" hidden="false" customHeight="false" outlineLevel="0" collapsed="false">
      <c r="A19" s="6" t="s">
        <v>303</v>
      </c>
      <c r="B19" s="6" t="s">
        <v>117</v>
      </c>
      <c r="C19" s="6" t="s">
        <v>392</v>
      </c>
      <c r="D19" s="6" t="s">
        <v>407</v>
      </c>
      <c r="E19" s="6" t="s">
        <v>408</v>
      </c>
    </row>
    <row r="20" customFormat="false" ht="23.85" hidden="false" customHeight="false" outlineLevel="0" collapsed="false">
      <c r="A20" s="6" t="s">
        <v>303</v>
      </c>
      <c r="B20" s="6" t="s">
        <v>117</v>
      </c>
      <c r="C20" s="6" t="s">
        <v>392</v>
      </c>
      <c r="D20" s="6"/>
      <c r="E20" s="6" t="s">
        <v>409</v>
      </c>
    </row>
    <row r="21" customFormat="false" ht="23.85" hidden="false" customHeight="false" outlineLevel="0" collapsed="false">
      <c r="A21" s="6" t="s">
        <v>303</v>
      </c>
      <c r="B21" s="6" t="s">
        <v>117</v>
      </c>
      <c r="C21" s="6" t="s">
        <v>392</v>
      </c>
      <c r="D21" s="6" t="s">
        <v>410</v>
      </c>
      <c r="E21" s="6" t="s">
        <v>411</v>
      </c>
    </row>
    <row r="22" customFormat="false" ht="46.25" hidden="false" customHeight="false" outlineLevel="0" collapsed="false">
      <c r="A22" s="6" t="s">
        <v>307</v>
      </c>
      <c r="B22" s="6" t="s">
        <v>52</v>
      </c>
      <c r="C22" s="6" t="s">
        <v>412</v>
      </c>
      <c r="D22" s="6" t="s">
        <v>413</v>
      </c>
      <c r="E22" s="6" t="s">
        <v>414</v>
      </c>
    </row>
    <row r="23" customFormat="false" ht="23.85" hidden="false" customHeight="false" outlineLevel="0" collapsed="false">
      <c r="A23" s="6" t="s">
        <v>307</v>
      </c>
      <c r="B23" s="6" t="s">
        <v>52</v>
      </c>
      <c r="C23" s="6" t="s">
        <v>412</v>
      </c>
      <c r="D23" s="6" t="s">
        <v>415</v>
      </c>
      <c r="E23" s="6" t="s">
        <v>416</v>
      </c>
    </row>
    <row r="24" customFormat="false" ht="15" hidden="false" customHeight="false" outlineLevel="0" collapsed="false">
      <c r="A24" s="15" t="s">
        <v>307</v>
      </c>
      <c r="B24" s="15" t="s">
        <v>76</v>
      </c>
      <c r="C24" s="15" t="s">
        <v>412</v>
      </c>
      <c r="D24" s="16" t="s">
        <v>309</v>
      </c>
      <c r="E24" s="15" t="s">
        <v>417</v>
      </c>
    </row>
    <row r="25" customFormat="false" ht="35.05" hidden="false" customHeight="false" outlineLevel="0" collapsed="false">
      <c r="A25" s="6" t="s">
        <v>307</v>
      </c>
      <c r="B25" s="6" t="s">
        <v>76</v>
      </c>
      <c r="C25" s="6" t="s">
        <v>412</v>
      </c>
      <c r="D25" s="6" t="s">
        <v>418</v>
      </c>
      <c r="E25" s="6" t="s">
        <v>419</v>
      </c>
    </row>
    <row r="26" customFormat="false" ht="23.85" hidden="false" customHeight="false" outlineLevel="0" collapsed="false">
      <c r="A26" s="6" t="s">
        <v>307</v>
      </c>
      <c r="B26" s="6" t="s">
        <v>76</v>
      </c>
      <c r="C26" s="6" t="s">
        <v>412</v>
      </c>
      <c r="D26" s="6" t="s">
        <v>420</v>
      </c>
      <c r="E26" s="6" t="s">
        <v>421</v>
      </c>
    </row>
    <row r="27" customFormat="false" ht="91" hidden="false" customHeight="false" outlineLevel="0" collapsed="false">
      <c r="A27" s="15" t="s">
        <v>312</v>
      </c>
      <c r="B27" s="15" t="s">
        <v>52</v>
      </c>
      <c r="C27" s="15" t="s">
        <v>422</v>
      </c>
      <c r="D27" s="16" t="s">
        <v>108</v>
      </c>
      <c r="E27" s="15" t="s">
        <v>423</v>
      </c>
    </row>
    <row r="28" customFormat="false" ht="35.05" hidden="false" customHeight="false" outlineLevel="0" collapsed="false">
      <c r="A28" s="15" t="s">
        <v>312</v>
      </c>
      <c r="B28" s="15" t="s">
        <v>52</v>
      </c>
      <c r="C28" s="15" t="s">
        <v>422</v>
      </c>
      <c r="D28" s="16" t="s">
        <v>108</v>
      </c>
      <c r="E28" s="15" t="s">
        <v>424</v>
      </c>
    </row>
    <row r="29" customFormat="false" ht="57.45" hidden="false" customHeight="false" outlineLevel="0" collapsed="false">
      <c r="A29" s="15" t="s">
        <v>316</v>
      </c>
      <c r="B29" s="15" t="s">
        <v>52</v>
      </c>
      <c r="C29" s="15" t="s">
        <v>425</v>
      </c>
      <c r="D29" s="16" t="s">
        <v>318</v>
      </c>
      <c r="E29" s="15" t="s">
        <v>426</v>
      </c>
    </row>
    <row r="30" customFormat="false" ht="35.05" hidden="false" customHeight="false" outlineLevel="0" collapsed="false">
      <c r="A30" s="6" t="s">
        <v>316</v>
      </c>
      <c r="B30" s="6" t="s">
        <v>76</v>
      </c>
      <c r="C30" s="6" t="s">
        <v>425</v>
      </c>
      <c r="D30" s="6" t="s">
        <v>427</v>
      </c>
      <c r="E30" s="6" t="s">
        <v>428</v>
      </c>
    </row>
    <row r="31" customFormat="false" ht="91" hidden="false" customHeight="false" outlineLevel="0" collapsed="false">
      <c r="A31" s="6" t="s">
        <v>316</v>
      </c>
      <c r="B31" s="6" t="s">
        <v>57</v>
      </c>
      <c r="C31" s="6" t="s">
        <v>425</v>
      </c>
      <c r="D31" s="6" t="s">
        <v>429</v>
      </c>
      <c r="E31" s="6" t="s">
        <v>430</v>
      </c>
    </row>
    <row r="32" customFormat="false" ht="46.25" hidden="false" customHeight="false" outlineLevel="0" collapsed="false">
      <c r="A32" s="6" t="s">
        <v>316</v>
      </c>
      <c r="B32" s="6" t="s">
        <v>117</v>
      </c>
      <c r="C32" s="6" t="s">
        <v>425</v>
      </c>
      <c r="D32" s="6" t="s">
        <v>359</v>
      </c>
      <c r="E32" s="6" t="s">
        <v>431</v>
      </c>
    </row>
    <row r="33" customFormat="false" ht="57.45" hidden="false" customHeight="false" outlineLevel="0" collapsed="false">
      <c r="A33" s="6" t="s">
        <v>316</v>
      </c>
      <c r="B33" s="6" t="s">
        <v>432</v>
      </c>
      <c r="C33" s="6" t="s">
        <v>425</v>
      </c>
      <c r="D33" s="6" t="s">
        <v>433</v>
      </c>
      <c r="E33" s="6" t="s">
        <v>434</v>
      </c>
    </row>
    <row r="34" customFormat="false" ht="57.45" hidden="false" customHeight="false" outlineLevel="0" collapsed="false">
      <c r="A34" s="6" t="s">
        <v>321</v>
      </c>
      <c r="B34" s="6" t="s">
        <v>52</v>
      </c>
      <c r="C34" s="6" t="s">
        <v>384</v>
      </c>
      <c r="D34" s="6" t="s">
        <v>90</v>
      </c>
      <c r="E34" s="6" t="s">
        <v>435</v>
      </c>
    </row>
    <row r="35" customFormat="false" ht="57.45" hidden="false" customHeight="false" outlineLevel="0" collapsed="false">
      <c r="A35" s="6" t="s">
        <v>321</v>
      </c>
      <c r="B35" s="6" t="s">
        <v>52</v>
      </c>
      <c r="C35" s="6" t="s">
        <v>384</v>
      </c>
      <c r="D35" s="6" t="s">
        <v>436</v>
      </c>
      <c r="E35" s="6" t="s">
        <v>437</v>
      </c>
    </row>
    <row r="36" customFormat="false" ht="35.05" hidden="false" customHeight="false" outlineLevel="0" collapsed="false">
      <c r="A36" s="15" t="s">
        <v>321</v>
      </c>
      <c r="B36" s="15" t="s">
        <v>76</v>
      </c>
      <c r="C36" s="15" t="s">
        <v>384</v>
      </c>
      <c r="D36" s="16" t="s">
        <v>100</v>
      </c>
      <c r="E36" s="15" t="s">
        <v>438</v>
      </c>
    </row>
    <row r="37" customFormat="false" ht="23.85" hidden="false" customHeight="false" outlineLevel="0" collapsed="false">
      <c r="A37" s="6" t="s">
        <v>326</v>
      </c>
      <c r="B37" s="6" t="s">
        <v>52</v>
      </c>
      <c r="C37" s="6" t="s">
        <v>439</v>
      </c>
      <c r="D37" s="6" t="s">
        <v>440</v>
      </c>
      <c r="E37" s="6" t="s">
        <v>441</v>
      </c>
    </row>
    <row r="38" customFormat="false" ht="23.85" hidden="false" customHeight="false" outlineLevel="0" collapsed="false">
      <c r="A38" s="6" t="s">
        <v>326</v>
      </c>
      <c r="B38" s="6" t="s">
        <v>76</v>
      </c>
      <c r="C38" s="6" t="s">
        <v>442</v>
      </c>
      <c r="D38" s="6" t="s">
        <v>440</v>
      </c>
      <c r="E38" s="6" t="s">
        <v>443</v>
      </c>
    </row>
    <row r="39" customFormat="false" ht="68.65" hidden="false" customHeight="false" outlineLevel="0" collapsed="false">
      <c r="A39" s="15" t="s">
        <v>326</v>
      </c>
      <c r="B39" s="15" t="s">
        <v>57</v>
      </c>
      <c r="C39" s="15" t="s">
        <v>444</v>
      </c>
      <c r="D39" s="16" t="s">
        <v>97</v>
      </c>
      <c r="E39" s="15" t="s">
        <v>445</v>
      </c>
    </row>
    <row r="40" customFormat="false" ht="35.05" hidden="false" customHeight="false" outlineLevel="0" collapsed="false">
      <c r="A40" s="6" t="s">
        <v>326</v>
      </c>
      <c r="B40" s="6" t="s">
        <v>117</v>
      </c>
      <c r="C40" s="6" t="s">
        <v>442</v>
      </c>
      <c r="D40" s="6" t="s">
        <v>446</v>
      </c>
      <c r="E40" s="6" t="s">
        <v>447</v>
      </c>
    </row>
    <row r="41" customFormat="false" ht="46.25" hidden="false" customHeight="false" outlineLevel="0" collapsed="false">
      <c r="A41" s="6" t="s">
        <v>326</v>
      </c>
      <c r="B41" s="6" t="s">
        <v>432</v>
      </c>
      <c r="C41" s="6" t="s">
        <v>439</v>
      </c>
      <c r="D41" s="6" t="s">
        <v>448</v>
      </c>
      <c r="E41" s="6" t="s">
        <v>449</v>
      </c>
    </row>
    <row r="42" customFormat="false" ht="79.85" hidden="false" customHeight="false" outlineLevel="0" collapsed="false">
      <c r="A42" s="15" t="s">
        <v>330</v>
      </c>
      <c r="B42" s="15" t="s">
        <v>52</v>
      </c>
      <c r="C42" s="15" t="s">
        <v>450</v>
      </c>
      <c r="D42" s="16" t="s">
        <v>332</v>
      </c>
      <c r="E42" s="15" t="s">
        <v>451</v>
      </c>
    </row>
    <row r="43" customFormat="false" ht="57.45" hidden="false" customHeight="false" outlineLevel="0" collapsed="false">
      <c r="A43" s="6" t="s">
        <v>330</v>
      </c>
      <c r="B43" s="6" t="s">
        <v>76</v>
      </c>
      <c r="C43" s="6" t="s">
        <v>384</v>
      </c>
      <c r="D43" s="6" t="s">
        <v>90</v>
      </c>
      <c r="E43" s="6" t="s">
        <v>435</v>
      </c>
    </row>
    <row r="44" customFormat="false" ht="79.85" hidden="false" customHeight="false" outlineLevel="0" collapsed="false">
      <c r="A44" s="15" t="s">
        <v>330</v>
      </c>
      <c r="B44" s="15" t="s">
        <v>57</v>
      </c>
      <c r="C44" s="15" t="s">
        <v>452</v>
      </c>
      <c r="D44" s="16" t="s">
        <v>334</v>
      </c>
      <c r="E44" s="15" t="s">
        <v>453</v>
      </c>
    </row>
    <row r="45" customFormat="false" ht="35.05" hidden="false" customHeight="false" outlineLevel="0" collapsed="false">
      <c r="A45" s="6" t="s">
        <v>330</v>
      </c>
      <c r="B45" s="6" t="s">
        <v>117</v>
      </c>
      <c r="C45" s="6" t="s">
        <v>384</v>
      </c>
      <c r="D45" s="6" t="s">
        <v>454</v>
      </c>
      <c r="E45" s="6" t="s">
        <v>455</v>
      </c>
    </row>
    <row r="46" customFormat="false" ht="46.25" hidden="false" customHeight="false" outlineLevel="0" collapsed="false">
      <c r="A46" s="6" t="s">
        <v>336</v>
      </c>
      <c r="B46" s="6" t="s">
        <v>52</v>
      </c>
      <c r="C46" s="6" t="s">
        <v>456</v>
      </c>
      <c r="D46" s="6" t="s">
        <v>266</v>
      </c>
      <c r="E46" s="6" t="s">
        <v>457</v>
      </c>
    </row>
    <row r="47" customFormat="false" ht="46.25" hidden="false" customHeight="false" outlineLevel="0" collapsed="false">
      <c r="A47" s="15" t="s">
        <v>336</v>
      </c>
      <c r="B47" s="15" t="s">
        <v>76</v>
      </c>
      <c r="C47" s="15" t="s">
        <v>384</v>
      </c>
      <c r="D47" s="16" t="s">
        <v>338</v>
      </c>
      <c r="E47" s="15" t="s">
        <v>458</v>
      </c>
    </row>
    <row r="48" customFormat="false" ht="57.45" hidden="false" customHeight="false" outlineLevel="0" collapsed="false">
      <c r="A48" s="6" t="s">
        <v>336</v>
      </c>
      <c r="B48" s="6" t="s">
        <v>57</v>
      </c>
      <c r="C48" s="6" t="s">
        <v>456</v>
      </c>
      <c r="D48" s="6" t="s">
        <v>87</v>
      </c>
      <c r="E48" s="6" t="s">
        <v>459</v>
      </c>
    </row>
    <row r="49" customFormat="false" ht="23.85" hidden="false" customHeight="false" outlineLevel="0" collapsed="false">
      <c r="A49" s="6" t="s">
        <v>340</v>
      </c>
      <c r="B49" s="6" t="s">
        <v>52</v>
      </c>
      <c r="C49" s="6" t="s">
        <v>456</v>
      </c>
      <c r="D49" s="6" t="s">
        <v>460</v>
      </c>
      <c r="E49" s="6" t="s">
        <v>461</v>
      </c>
    </row>
    <row r="50" customFormat="false" ht="91" hidden="false" customHeight="false" outlineLevel="0" collapsed="false">
      <c r="A50" s="15" t="s">
        <v>340</v>
      </c>
      <c r="B50" s="15" t="s">
        <v>76</v>
      </c>
      <c r="C50" s="15" t="s">
        <v>422</v>
      </c>
      <c r="D50" s="16" t="s">
        <v>266</v>
      </c>
      <c r="E50" s="15" t="s">
        <v>462</v>
      </c>
    </row>
    <row r="51" customFormat="false" ht="23.85" hidden="false" customHeight="false" outlineLevel="0" collapsed="false">
      <c r="A51" s="6" t="s">
        <v>344</v>
      </c>
      <c r="B51" s="6" t="s">
        <v>52</v>
      </c>
      <c r="C51" s="6" t="s">
        <v>463</v>
      </c>
      <c r="D51" s="6" t="s">
        <v>464</v>
      </c>
      <c r="E51" s="6" t="s">
        <v>465</v>
      </c>
    </row>
    <row r="52" customFormat="false" ht="15" hidden="false" customHeight="false" outlineLevel="0" collapsed="false">
      <c r="A52" s="6" t="s">
        <v>344</v>
      </c>
      <c r="B52" s="6" t="s">
        <v>52</v>
      </c>
      <c r="C52" s="6" t="s">
        <v>463</v>
      </c>
      <c r="D52" s="6"/>
      <c r="E52" s="6" t="s">
        <v>466</v>
      </c>
    </row>
    <row r="53" customFormat="false" ht="15" hidden="false" customHeight="false" outlineLevel="0" collapsed="false">
      <c r="A53" s="6" t="s">
        <v>344</v>
      </c>
      <c r="B53" s="6" t="s">
        <v>52</v>
      </c>
      <c r="C53" s="6" t="s">
        <v>463</v>
      </c>
      <c r="D53" s="6"/>
      <c r="E53" s="6" t="s">
        <v>467</v>
      </c>
    </row>
    <row r="54" customFormat="false" ht="15" hidden="false" customHeight="false" outlineLevel="0" collapsed="false">
      <c r="A54" s="6" t="s">
        <v>344</v>
      </c>
      <c r="B54" s="6" t="s">
        <v>52</v>
      </c>
      <c r="C54" s="6" t="s">
        <v>463</v>
      </c>
      <c r="D54" s="6"/>
      <c r="E54" s="6" t="s">
        <v>468</v>
      </c>
    </row>
    <row r="55" customFormat="false" ht="35.05" hidden="false" customHeight="false" outlineLevel="0" collapsed="false">
      <c r="A55" s="15" t="s">
        <v>344</v>
      </c>
      <c r="B55" s="15" t="s">
        <v>52</v>
      </c>
      <c r="C55" s="15" t="s">
        <v>463</v>
      </c>
      <c r="D55" s="16" t="s">
        <v>346</v>
      </c>
      <c r="E55" s="15" t="s">
        <v>469</v>
      </c>
    </row>
    <row r="56" customFormat="false" ht="23.85" hidden="false" customHeight="false" outlineLevel="0" collapsed="false">
      <c r="A56" s="6" t="s">
        <v>344</v>
      </c>
      <c r="B56" s="6" t="s">
        <v>52</v>
      </c>
      <c r="C56" s="6" t="s">
        <v>463</v>
      </c>
      <c r="D56" s="6" t="s">
        <v>470</v>
      </c>
      <c r="E56" s="6" t="s">
        <v>471</v>
      </c>
    </row>
    <row r="57" customFormat="false" ht="15" hidden="false" customHeight="false" outlineLevel="0" collapsed="false">
      <c r="A57" s="6" t="s">
        <v>344</v>
      </c>
      <c r="B57" s="6" t="s">
        <v>52</v>
      </c>
      <c r="C57" s="6" t="s">
        <v>463</v>
      </c>
      <c r="D57" s="6" t="s">
        <v>472</v>
      </c>
      <c r="E57" s="6" t="s">
        <v>473</v>
      </c>
    </row>
    <row r="58" customFormat="false" ht="23.85" hidden="false" customHeight="false" outlineLevel="0" collapsed="false">
      <c r="A58" s="6" t="s">
        <v>344</v>
      </c>
      <c r="B58" s="6" t="s">
        <v>52</v>
      </c>
      <c r="C58" s="6" t="s">
        <v>463</v>
      </c>
      <c r="D58" s="6" t="s">
        <v>474</v>
      </c>
      <c r="E58" s="6" t="s">
        <v>475</v>
      </c>
    </row>
    <row r="59" customFormat="false" ht="68.65" hidden="false" customHeight="false" outlineLevel="0" collapsed="false">
      <c r="A59" s="6" t="s">
        <v>344</v>
      </c>
      <c r="B59" s="6" t="s">
        <v>76</v>
      </c>
      <c r="C59" s="6" t="s">
        <v>476</v>
      </c>
      <c r="D59" s="6" t="s">
        <v>58</v>
      </c>
      <c r="E59" s="6" t="s">
        <v>477</v>
      </c>
    </row>
    <row r="60" customFormat="false" ht="15" hidden="false" customHeight="false" outlineLevel="0" collapsed="false">
      <c r="A60" s="6" t="s">
        <v>344</v>
      </c>
      <c r="B60" s="6" t="s">
        <v>57</v>
      </c>
      <c r="C60" s="6" t="s">
        <v>463</v>
      </c>
      <c r="D60" s="6" t="s">
        <v>478</v>
      </c>
      <c r="E60" s="6" t="s">
        <v>479</v>
      </c>
    </row>
    <row r="61" customFormat="false" ht="15" hidden="false" customHeight="false" outlineLevel="0" collapsed="false">
      <c r="A61" s="6" t="s">
        <v>344</v>
      </c>
      <c r="B61" s="6" t="s">
        <v>57</v>
      </c>
      <c r="C61" s="6" t="s">
        <v>463</v>
      </c>
      <c r="D61" s="6"/>
      <c r="E61" s="6" t="s">
        <v>480</v>
      </c>
    </row>
    <row r="62" customFormat="false" ht="15" hidden="false" customHeight="false" outlineLevel="0" collapsed="false">
      <c r="A62" s="6" t="s">
        <v>344</v>
      </c>
      <c r="B62" s="6" t="s">
        <v>57</v>
      </c>
      <c r="C62" s="6" t="s">
        <v>463</v>
      </c>
      <c r="D62" s="6"/>
      <c r="E62" s="6" t="s">
        <v>481</v>
      </c>
    </row>
    <row r="63" customFormat="false" ht="23.85" hidden="false" customHeight="false" outlineLevel="0" collapsed="false">
      <c r="A63" s="6" t="s">
        <v>344</v>
      </c>
      <c r="B63" s="6" t="s">
        <v>57</v>
      </c>
      <c r="C63" s="6" t="s">
        <v>463</v>
      </c>
      <c r="D63" s="6"/>
      <c r="E63" s="6" t="s">
        <v>482</v>
      </c>
    </row>
    <row r="64" customFormat="false" ht="15" hidden="false" customHeight="false" outlineLevel="0" collapsed="false">
      <c r="A64" s="6" t="s">
        <v>344</v>
      </c>
      <c r="B64" s="6" t="s">
        <v>57</v>
      </c>
      <c r="C64" s="6" t="s">
        <v>463</v>
      </c>
      <c r="D64" s="6"/>
      <c r="E64" s="6" t="s">
        <v>483</v>
      </c>
    </row>
    <row r="65" customFormat="false" ht="15" hidden="false" customHeight="false" outlineLevel="0" collapsed="false">
      <c r="A65" s="6" t="s">
        <v>344</v>
      </c>
      <c r="B65" s="6" t="s">
        <v>57</v>
      </c>
      <c r="C65" s="6" t="s">
        <v>463</v>
      </c>
      <c r="D65" s="6"/>
      <c r="E65" s="6" t="s">
        <v>484</v>
      </c>
    </row>
    <row r="66" customFormat="false" ht="23.85" hidden="false" customHeight="false" outlineLevel="0" collapsed="false">
      <c r="A66" s="6" t="s">
        <v>344</v>
      </c>
      <c r="B66" s="6" t="s">
        <v>57</v>
      </c>
      <c r="C66" s="6" t="s">
        <v>463</v>
      </c>
      <c r="D66" s="6"/>
      <c r="E66" s="6" t="s">
        <v>485</v>
      </c>
    </row>
    <row r="67" customFormat="false" ht="23.85" hidden="false" customHeight="false" outlineLevel="0" collapsed="false">
      <c r="A67" s="6" t="s">
        <v>344</v>
      </c>
      <c r="B67" s="6" t="s">
        <v>57</v>
      </c>
      <c r="C67" s="6" t="s">
        <v>463</v>
      </c>
      <c r="D67" s="6" t="s">
        <v>486</v>
      </c>
      <c r="E67" s="6" t="s">
        <v>487</v>
      </c>
    </row>
    <row r="68" customFormat="false" ht="15" hidden="false" customHeight="false" outlineLevel="0" collapsed="false">
      <c r="A68" s="6" t="s">
        <v>344</v>
      </c>
      <c r="B68" s="6" t="s">
        <v>57</v>
      </c>
      <c r="C68" s="6" t="s">
        <v>463</v>
      </c>
      <c r="D68" s="6" t="s">
        <v>488</v>
      </c>
      <c r="E68" s="6" t="s">
        <v>489</v>
      </c>
    </row>
    <row r="69" customFormat="false" ht="23.85" hidden="false" customHeight="false" outlineLevel="0" collapsed="false">
      <c r="A69" s="6" t="s">
        <v>344</v>
      </c>
      <c r="B69" s="6" t="s">
        <v>57</v>
      </c>
      <c r="C69" s="6" t="s">
        <v>463</v>
      </c>
      <c r="D69" s="6"/>
      <c r="E69" s="6" t="s">
        <v>490</v>
      </c>
    </row>
    <row r="70" customFormat="false" ht="23.85" hidden="false" customHeight="false" outlineLevel="0" collapsed="false">
      <c r="A70" s="6" t="s">
        <v>344</v>
      </c>
      <c r="B70" s="6" t="s">
        <v>57</v>
      </c>
      <c r="C70" s="6" t="s">
        <v>463</v>
      </c>
      <c r="D70" s="6"/>
      <c r="E70" s="6" t="s">
        <v>491</v>
      </c>
    </row>
    <row r="71" customFormat="false" ht="15" hidden="false" customHeight="false" outlineLevel="0" collapsed="false">
      <c r="A71" s="6" t="s">
        <v>344</v>
      </c>
      <c r="B71" s="6" t="s">
        <v>57</v>
      </c>
      <c r="C71" s="6" t="s">
        <v>463</v>
      </c>
      <c r="D71" s="6"/>
      <c r="E71" s="6" t="s">
        <v>492</v>
      </c>
    </row>
    <row r="72" customFormat="false" ht="15" hidden="false" customHeight="false" outlineLevel="0" collapsed="false">
      <c r="A72" s="6" t="s">
        <v>344</v>
      </c>
      <c r="B72" s="6" t="s">
        <v>57</v>
      </c>
      <c r="C72" s="6" t="s">
        <v>463</v>
      </c>
      <c r="D72" s="6"/>
      <c r="E72" s="6" t="s">
        <v>493</v>
      </c>
    </row>
    <row r="73" customFormat="false" ht="15" hidden="false" customHeight="false" outlineLevel="0" collapsed="false">
      <c r="A73" s="6" t="s">
        <v>344</v>
      </c>
      <c r="B73" s="6" t="s">
        <v>57</v>
      </c>
      <c r="C73" s="6" t="s">
        <v>463</v>
      </c>
      <c r="D73" s="6"/>
      <c r="E73" s="6" t="s">
        <v>494</v>
      </c>
    </row>
    <row r="74" customFormat="false" ht="15" hidden="false" customHeight="false" outlineLevel="0" collapsed="false">
      <c r="A74" s="6" t="s">
        <v>344</v>
      </c>
      <c r="B74" s="6" t="s">
        <v>57</v>
      </c>
      <c r="C74" s="6" t="s">
        <v>463</v>
      </c>
      <c r="D74" s="6"/>
      <c r="E74" s="6" t="s">
        <v>495</v>
      </c>
    </row>
    <row r="75" customFormat="false" ht="15" hidden="false" customHeight="false" outlineLevel="0" collapsed="false">
      <c r="A75" s="6" t="s">
        <v>344</v>
      </c>
      <c r="B75" s="6" t="s">
        <v>57</v>
      </c>
      <c r="C75" s="6" t="s">
        <v>463</v>
      </c>
      <c r="D75" s="6"/>
      <c r="E75" s="6" t="s">
        <v>496</v>
      </c>
    </row>
    <row r="76" customFormat="false" ht="23.85" hidden="false" customHeight="false" outlineLevel="0" collapsed="false">
      <c r="A76" s="6" t="s">
        <v>344</v>
      </c>
      <c r="B76" s="6" t="s">
        <v>57</v>
      </c>
      <c r="C76" s="6" t="s">
        <v>463</v>
      </c>
      <c r="D76" s="6"/>
      <c r="E76" s="6" t="s">
        <v>497</v>
      </c>
    </row>
    <row r="77" customFormat="false" ht="15" hidden="false" customHeight="false" outlineLevel="0" collapsed="false">
      <c r="A77" s="6" t="s">
        <v>344</v>
      </c>
      <c r="B77" s="6" t="s">
        <v>57</v>
      </c>
      <c r="C77" s="6" t="s">
        <v>463</v>
      </c>
      <c r="D77" s="6"/>
      <c r="E77" s="6" t="s">
        <v>498</v>
      </c>
    </row>
    <row r="78" customFormat="false" ht="23.85" hidden="false" customHeight="false" outlineLevel="0" collapsed="false">
      <c r="A78" s="6" t="s">
        <v>344</v>
      </c>
      <c r="B78" s="6" t="s">
        <v>57</v>
      </c>
      <c r="C78" s="6" t="s">
        <v>463</v>
      </c>
      <c r="D78" s="6"/>
      <c r="E78" s="6" t="s">
        <v>499</v>
      </c>
    </row>
    <row r="79" customFormat="false" ht="23.85" hidden="false" customHeight="false" outlineLevel="0" collapsed="false">
      <c r="A79" s="6" t="s">
        <v>344</v>
      </c>
      <c r="B79" s="6" t="s">
        <v>57</v>
      </c>
      <c r="C79" s="6" t="s">
        <v>463</v>
      </c>
      <c r="D79" s="6"/>
      <c r="E79" s="6" t="s">
        <v>500</v>
      </c>
    </row>
    <row r="80" customFormat="false" ht="15" hidden="false" customHeight="false" outlineLevel="0" collapsed="false">
      <c r="A80" s="6" t="s">
        <v>344</v>
      </c>
      <c r="B80" s="6" t="s">
        <v>57</v>
      </c>
      <c r="C80" s="6" t="s">
        <v>463</v>
      </c>
      <c r="D80" s="6"/>
      <c r="E80" s="6" t="s">
        <v>501</v>
      </c>
    </row>
    <row r="81" customFormat="false" ht="15" hidden="false" customHeight="false" outlineLevel="0" collapsed="false">
      <c r="A81" s="6" t="s">
        <v>344</v>
      </c>
      <c r="B81" s="6" t="s">
        <v>57</v>
      </c>
      <c r="C81" s="6" t="s">
        <v>463</v>
      </c>
      <c r="D81" s="6"/>
      <c r="E81" s="6" t="s">
        <v>502</v>
      </c>
    </row>
    <row r="82" customFormat="false" ht="15" hidden="false" customHeight="false" outlineLevel="0" collapsed="false">
      <c r="A82" s="6" t="s">
        <v>344</v>
      </c>
      <c r="B82" s="6" t="s">
        <v>57</v>
      </c>
      <c r="C82" s="6" t="s">
        <v>463</v>
      </c>
      <c r="D82" s="6"/>
      <c r="E82" s="6" t="s">
        <v>503</v>
      </c>
    </row>
    <row r="83" customFormat="false" ht="15" hidden="false" customHeight="false" outlineLevel="0" collapsed="false">
      <c r="A83" s="6" t="s">
        <v>344</v>
      </c>
      <c r="B83" s="6" t="s">
        <v>57</v>
      </c>
      <c r="C83" s="6" t="s">
        <v>463</v>
      </c>
      <c r="D83" s="6"/>
      <c r="E83" s="6" t="s">
        <v>504</v>
      </c>
    </row>
    <row r="84" customFormat="false" ht="15" hidden="false" customHeight="false" outlineLevel="0" collapsed="false">
      <c r="A84" s="6" t="s">
        <v>344</v>
      </c>
      <c r="B84" s="6" t="s">
        <v>57</v>
      </c>
      <c r="C84" s="6" t="s">
        <v>463</v>
      </c>
      <c r="D84" s="6"/>
      <c r="E84" s="6" t="s">
        <v>505</v>
      </c>
    </row>
    <row r="85" customFormat="false" ht="23.85" hidden="false" customHeight="false" outlineLevel="0" collapsed="false">
      <c r="A85" s="6" t="s">
        <v>344</v>
      </c>
      <c r="B85" s="6" t="s">
        <v>57</v>
      </c>
      <c r="C85" s="6" t="s">
        <v>463</v>
      </c>
      <c r="D85" s="6"/>
      <c r="E85" s="6" t="s">
        <v>506</v>
      </c>
    </row>
    <row r="86" customFormat="false" ht="15" hidden="false" customHeight="false" outlineLevel="0" collapsed="false">
      <c r="A86" s="6" t="s">
        <v>344</v>
      </c>
      <c r="B86" s="6" t="s">
        <v>57</v>
      </c>
      <c r="C86" s="6" t="s">
        <v>463</v>
      </c>
      <c r="D86" s="6"/>
      <c r="E86" s="6" t="s">
        <v>507</v>
      </c>
    </row>
    <row r="87" customFormat="false" ht="35.05" hidden="false" customHeight="false" outlineLevel="0" collapsed="false">
      <c r="A87" s="6" t="s">
        <v>344</v>
      </c>
      <c r="B87" s="6" t="s">
        <v>57</v>
      </c>
      <c r="C87" s="6" t="s">
        <v>463</v>
      </c>
      <c r="D87" s="6"/>
      <c r="E87" s="6" t="s">
        <v>508</v>
      </c>
    </row>
    <row r="88" customFormat="false" ht="15" hidden="false" customHeight="false" outlineLevel="0" collapsed="false">
      <c r="A88" s="6" t="s">
        <v>344</v>
      </c>
      <c r="B88" s="6" t="s">
        <v>57</v>
      </c>
      <c r="C88" s="6" t="s">
        <v>463</v>
      </c>
      <c r="D88" s="6"/>
      <c r="E88" s="6" t="s">
        <v>509</v>
      </c>
    </row>
    <row r="89" customFormat="false" ht="23.85" hidden="false" customHeight="false" outlineLevel="0" collapsed="false">
      <c r="A89" s="6" t="s">
        <v>344</v>
      </c>
      <c r="B89" s="6" t="s">
        <v>57</v>
      </c>
      <c r="C89" s="6" t="s">
        <v>463</v>
      </c>
      <c r="D89" s="6"/>
      <c r="E89" s="6" t="s">
        <v>510</v>
      </c>
    </row>
    <row r="90" customFormat="false" ht="15" hidden="false" customHeight="false" outlineLevel="0" collapsed="false">
      <c r="A90" s="6" t="s">
        <v>344</v>
      </c>
      <c r="B90" s="6" t="s">
        <v>57</v>
      </c>
      <c r="C90" s="6" t="s">
        <v>463</v>
      </c>
      <c r="D90" s="6"/>
      <c r="E90" s="6" t="s">
        <v>511</v>
      </c>
    </row>
    <row r="91" customFormat="false" ht="15" hidden="false" customHeight="false" outlineLevel="0" collapsed="false">
      <c r="A91" s="6" t="s">
        <v>344</v>
      </c>
      <c r="B91" s="6" t="s">
        <v>57</v>
      </c>
      <c r="C91" s="6" t="s">
        <v>463</v>
      </c>
      <c r="D91" s="6"/>
      <c r="E91" s="6" t="s">
        <v>512</v>
      </c>
    </row>
    <row r="92" customFormat="false" ht="15" hidden="false" customHeight="false" outlineLevel="0" collapsed="false">
      <c r="A92" s="6" t="s">
        <v>344</v>
      </c>
      <c r="B92" s="6" t="s">
        <v>57</v>
      </c>
      <c r="C92" s="6" t="s">
        <v>463</v>
      </c>
      <c r="D92" s="6"/>
      <c r="E92" s="6" t="s">
        <v>513</v>
      </c>
    </row>
    <row r="93" customFormat="false" ht="35.05" hidden="false" customHeight="false" outlineLevel="0" collapsed="false">
      <c r="A93" s="6" t="s">
        <v>344</v>
      </c>
      <c r="B93" s="6" t="s">
        <v>57</v>
      </c>
      <c r="C93" s="6" t="s">
        <v>463</v>
      </c>
      <c r="D93" s="6"/>
      <c r="E93" s="6" t="s">
        <v>514</v>
      </c>
    </row>
    <row r="94" customFormat="false" ht="23.85" hidden="false" customHeight="false" outlineLevel="0" collapsed="false">
      <c r="A94" s="6" t="s">
        <v>344</v>
      </c>
      <c r="B94" s="6" t="s">
        <v>57</v>
      </c>
      <c r="C94" s="6" t="s">
        <v>463</v>
      </c>
      <c r="D94" s="6"/>
      <c r="E94" s="6" t="s">
        <v>515</v>
      </c>
    </row>
    <row r="95" customFormat="false" ht="23.85" hidden="false" customHeight="false" outlineLevel="0" collapsed="false">
      <c r="A95" s="6" t="s">
        <v>344</v>
      </c>
      <c r="B95" s="6" t="s">
        <v>57</v>
      </c>
      <c r="C95" s="6" t="s">
        <v>463</v>
      </c>
      <c r="D95" s="6"/>
      <c r="E95" s="6" t="s">
        <v>516</v>
      </c>
    </row>
    <row r="96" customFormat="false" ht="35.05" hidden="false" customHeight="false" outlineLevel="0" collapsed="false">
      <c r="A96" s="6" t="s">
        <v>344</v>
      </c>
      <c r="B96" s="6" t="s">
        <v>57</v>
      </c>
      <c r="C96" s="6" t="s">
        <v>463</v>
      </c>
      <c r="D96" s="6"/>
      <c r="E96" s="6" t="s">
        <v>517</v>
      </c>
    </row>
    <row r="97" customFormat="false" ht="23.85" hidden="false" customHeight="false" outlineLevel="0" collapsed="false">
      <c r="A97" s="6" t="s">
        <v>344</v>
      </c>
      <c r="B97" s="6" t="s">
        <v>117</v>
      </c>
      <c r="C97" s="6" t="s">
        <v>476</v>
      </c>
      <c r="D97" s="6"/>
      <c r="E97" s="6" t="s">
        <v>518</v>
      </c>
    </row>
    <row r="98" customFormat="false" ht="23.85" hidden="false" customHeight="false" outlineLevel="0" collapsed="false">
      <c r="A98" s="15" t="s">
        <v>344</v>
      </c>
      <c r="B98" s="15" t="s">
        <v>117</v>
      </c>
      <c r="C98" s="15" t="s">
        <v>476</v>
      </c>
      <c r="D98" s="16" t="s">
        <v>348</v>
      </c>
      <c r="E98" s="15" t="s">
        <v>519</v>
      </c>
    </row>
    <row r="99" customFormat="false" ht="46.25" hidden="false" customHeight="false" outlineLevel="0" collapsed="false">
      <c r="A99" s="15" t="s">
        <v>350</v>
      </c>
      <c r="B99" s="15" t="s">
        <v>52</v>
      </c>
      <c r="C99" s="15" t="s">
        <v>456</v>
      </c>
      <c r="D99" s="16" t="s">
        <v>352</v>
      </c>
      <c r="E99" s="15" t="s">
        <v>520</v>
      </c>
    </row>
    <row r="100" customFormat="false" ht="35.05" hidden="false" customHeight="false" outlineLevel="0" collapsed="false">
      <c r="A100" s="6" t="s">
        <v>350</v>
      </c>
      <c r="B100" s="6" t="s">
        <v>76</v>
      </c>
      <c r="C100" s="6" t="s">
        <v>450</v>
      </c>
      <c r="D100" s="6" t="s">
        <v>121</v>
      </c>
      <c r="E100" s="6" t="s">
        <v>521</v>
      </c>
    </row>
    <row r="101" customFormat="false" ht="35.05" hidden="false" customHeight="false" outlineLevel="0" collapsed="false">
      <c r="A101" s="6" t="s">
        <v>350</v>
      </c>
      <c r="B101" s="6" t="s">
        <v>57</v>
      </c>
      <c r="C101" s="6" t="s">
        <v>452</v>
      </c>
      <c r="D101" s="6" t="s">
        <v>121</v>
      </c>
      <c r="E101" s="6" t="s">
        <v>522</v>
      </c>
    </row>
    <row r="102" customFormat="false" ht="35.05" hidden="false" customHeight="false" outlineLevel="0" collapsed="false">
      <c r="A102" s="6" t="s">
        <v>350</v>
      </c>
      <c r="B102" s="6" t="s">
        <v>117</v>
      </c>
      <c r="C102" s="6" t="s">
        <v>450</v>
      </c>
      <c r="D102" s="6" t="s">
        <v>523</v>
      </c>
      <c r="E102" s="6" t="s">
        <v>524</v>
      </c>
    </row>
    <row r="103" customFormat="false" ht="46.25" hidden="false" customHeight="false" outlineLevel="0" collapsed="false">
      <c r="A103" s="6" t="s">
        <v>350</v>
      </c>
      <c r="B103" s="6" t="s">
        <v>432</v>
      </c>
      <c r="C103" s="6" t="s">
        <v>452</v>
      </c>
      <c r="D103" s="6" t="s">
        <v>523</v>
      </c>
      <c r="E103" s="6" t="s">
        <v>525</v>
      </c>
    </row>
    <row r="104" customFormat="false" ht="57.45" hidden="false" customHeight="false" outlineLevel="0" collapsed="false">
      <c r="A104" s="15" t="s">
        <v>355</v>
      </c>
      <c r="B104" s="15" t="s">
        <v>52</v>
      </c>
      <c r="C104" s="15" t="s">
        <v>425</v>
      </c>
      <c r="D104" s="16" t="s">
        <v>359</v>
      </c>
      <c r="E104" s="15" t="s">
        <v>526</v>
      </c>
    </row>
    <row r="105" customFormat="false" ht="23.85" hidden="false" customHeight="false" outlineLevel="0" collapsed="false">
      <c r="A105" s="6" t="s">
        <v>355</v>
      </c>
      <c r="B105" s="6" t="s">
        <v>76</v>
      </c>
      <c r="C105" s="6" t="s">
        <v>425</v>
      </c>
      <c r="D105" s="6" t="s">
        <v>427</v>
      </c>
      <c r="E105" s="6" t="s">
        <v>527</v>
      </c>
    </row>
    <row r="106" customFormat="false" ht="46.25" hidden="false" customHeight="false" outlineLevel="0" collapsed="false">
      <c r="A106" s="15" t="s">
        <v>355</v>
      </c>
      <c r="B106" s="15" t="s">
        <v>57</v>
      </c>
      <c r="C106" s="15" t="s">
        <v>425</v>
      </c>
      <c r="D106" s="16" t="s">
        <v>357</v>
      </c>
      <c r="E106" s="15" t="s">
        <v>528</v>
      </c>
    </row>
    <row r="107" customFormat="false" ht="46.25" hidden="false" customHeight="false" outlineLevel="0" collapsed="false">
      <c r="A107" s="6" t="s">
        <v>355</v>
      </c>
      <c r="B107" s="6" t="s">
        <v>117</v>
      </c>
      <c r="C107" s="6" t="s">
        <v>425</v>
      </c>
      <c r="D107" s="6" t="s">
        <v>529</v>
      </c>
      <c r="E107" s="6" t="s">
        <v>530</v>
      </c>
    </row>
    <row r="108" customFormat="false" ht="35.05" hidden="false" customHeight="false" outlineLevel="0" collapsed="false">
      <c r="A108" s="6" t="s">
        <v>355</v>
      </c>
      <c r="B108" s="6" t="s">
        <v>432</v>
      </c>
      <c r="C108" s="6" t="s">
        <v>425</v>
      </c>
      <c r="D108" s="6" t="s">
        <v>531</v>
      </c>
      <c r="E108" s="6" t="s">
        <v>532</v>
      </c>
    </row>
    <row r="109" customFormat="false" ht="35.05" hidden="false" customHeight="false" outlineLevel="0" collapsed="false">
      <c r="A109" s="6" t="s">
        <v>361</v>
      </c>
      <c r="B109" s="6" t="s">
        <v>52</v>
      </c>
      <c r="C109" s="6" t="s">
        <v>533</v>
      </c>
      <c r="D109" s="6" t="s">
        <v>534</v>
      </c>
      <c r="E109" s="6" t="s">
        <v>535</v>
      </c>
    </row>
    <row r="110" customFormat="false" ht="35.05" hidden="false" customHeight="false" outlineLevel="0" collapsed="false">
      <c r="A110" s="6" t="s">
        <v>361</v>
      </c>
      <c r="B110" s="6" t="s">
        <v>52</v>
      </c>
      <c r="C110" s="6" t="s">
        <v>533</v>
      </c>
      <c r="D110" s="6" t="s">
        <v>536</v>
      </c>
      <c r="E110" s="6" t="s">
        <v>537</v>
      </c>
    </row>
    <row r="111" customFormat="false" ht="46.25" hidden="false" customHeight="false" outlineLevel="0" collapsed="false">
      <c r="A111" s="6" t="s">
        <v>361</v>
      </c>
      <c r="B111" s="6" t="s">
        <v>52</v>
      </c>
      <c r="C111" s="6" t="s">
        <v>533</v>
      </c>
      <c r="D111" s="6" t="s">
        <v>538</v>
      </c>
      <c r="E111" s="6" t="s">
        <v>539</v>
      </c>
    </row>
    <row r="112" customFormat="false" ht="35.05" hidden="false" customHeight="false" outlineLevel="0" collapsed="false">
      <c r="A112" s="6" t="s">
        <v>361</v>
      </c>
      <c r="B112" s="6" t="s">
        <v>52</v>
      </c>
      <c r="C112" s="6" t="s">
        <v>533</v>
      </c>
      <c r="D112" s="6" t="s">
        <v>540</v>
      </c>
      <c r="E112" s="6" t="s">
        <v>541</v>
      </c>
    </row>
    <row r="113" customFormat="false" ht="35.05" hidden="false" customHeight="false" outlineLevel="0" collapsed="false">
      <c r="A113" s="6" t="s">
        <v>361</v>
      </c>
      <c r="B113" s="6" t="s">
        <v>52</v>
      </c>
      <c r="C113" s="6" t="s">
        <v>533</v>
      </c>
      <c r="D113" s="6"/>
      <c r="E113" s="6" t="s">
        <v>542</v>
      </c>
    </row>
    <row r="114" customFormat="false" ht="15" hidden="false" customHeight="false" outlineLevel="0" collapsed="false">
      <c r="A114" s="6" t="s">
        <v>361</v>
      </c>
      <c r="B114" s="6" t="s">
        <v>52</v>
      </c>
      <c r="C114" s="6" t="s">
        <v>533</v>
      </c>
      <c r="D114" s="6"/>
      <c r="E114" s="6" t="s">
        <v>543</v>
      </c>
    </row>
    <row r="115" customFormat="false" ht="15" hidden="false" customHeight="false" outlineLevel="0" collapsed="false">
      <c r="A115" s="6" t="s">
        <v>361</v>
      </c>
      <c r="B115" s="6" t="s">
        <v>52</v>
      </c>
      <c r="C115" s="6" t="s">
        <v>533</v>
      </c>
      <c r="D115" s="6"/>
      <c r="E115" s="6" t="s">
        <v>544</v>
      </c>
    </row>
    <row r="116" customFormat="false" ht="23.85" hidden="false" customHeight="false" outlineLevel="0" collapsed="false">
      <c r="A116" s="6" t="s">
        <v>361</v>
      </c>
      <c r="B116" s="6" t="s">
        <v>52</v>
      </c>
      <c r="C116" s="6" t="s">
        <v>533</v>
      </c>
      <c r="D116" s="6"/>
      <c r="E116" s="6" t="s">
        <v>545</v>
      </c>
    </row>
    <row r="117" customFormat="false" ht="35.05" hidden="false" customHeight="false" outlineLevel="0" collapsed="false">
      <c r="A117" s="6" t="s">
        <v>361</v>
      </c>
      <c r="B117" s="6" t="s">
        <v>52</v>
      </c>
      <c r="C117" s="6" t="s">
        <v>533</v>
      </c>
      <c r="D117" s="6" t="s">
        <v>546</v>
      </c>
      <c r="E117" s="6" t="s">
        <v>547</v>
      </c>
    </row>
    <row r="118" customFormat="false" ht="23.85" hidden="false" customHeight="false" outlineLevel="0" collapsed="false">
      <c r="A118" s="6" t="s">
        <v>361</v>
      </c>
      <c r="B118" s="6" t="s">
        <v>52</v>
      </c>
      <c r="C118" s="6" t="s">
        <v>533</v>
      </c>
      <c r="D118" s="6" t="s">
        <v>548</v>
      </c>
      <c r="E118" s="6" t="s">
        <v>549</v>
      </c>
    </row>
    <row r="119" customFormat="false" ht="23.85" hidden="false" customHeight="false" outlineLevel="0" collapsed="false">
      <c r="A119" s="6" t="s">
        <v>361</v>
      </c>
      <c r="B119" s="6" t="s">
        <v>52</v>
      </c>
      <c r="C119" s="6" t="s">
        <v>533</v>
      </c>
      <c r="D119" s="6" t="s">
        <v>550</v>
      </c>
      <c r="E119" s="6" t="s">
        <v>551</v>
      </c>
    </row>
    <row r="120" customFormat="false" ht="46.25" hidden="false" customHeight="false" outlineLevel="0" collapsed="false">
      <c r="A120" s="6" t="s">
        <v>361</v>
      </c>
      <c r="B120" s="6" t="s">
        <v>52</v>
      </c>
      <c r="C120" s="6" t="s">
        <v>533</v>
      </c>
      <c r="D120" s="6" t="s">
        <v>552</v>
      </c>
      <c r="E120" s="6" t="s">
        <v>553</v>
      </c>
    </row>
    <row r="121" customFormat="false" ht="35.05" hidden="false" customHeight="false" outlineLevel="0" collapsed="false">
      <c r="A121" s="6" t="s">
        <v>361</v>
      </c>
      <c r="B121" s="6" t="s">
        <v>76</v>
      </c>
      <c r="C121" s="6" t="s">
        <v>533</v>
      </c>
      <c r="D121" s="6" t="s">
        <v>554</v>
      </c>
      <c r="E121" s="6" t="s">
        <v>555</v>
      </c>
    </row>
    <row r="122" customFormat="false" ht="35.05" hidden="false" customHeight="false" outlineLevel="0" collapsed="false">
      <c r="A122" s="6" t="s">
        <v>361</v>
      </c>
      <c r="B122" s="6" t="s">
        <v>76</v>
      </c>
      <c r="C122" s="6" t="s">
        <v>533</v>
      </c>
      <c r="D122" s="6" t="s">
        <v>556</v>
      </c>
      <c r="E122" s="6" t="s">
        <v>557</v>
      </c>
    </row>
    <row r="123" customFormat="false" ht="46.25" hidden="false" customHeight="false" outlineLevel="0" collapsed="false">
      <c r="A123" s="6" t="s">
        <v>361</v>
      </c>
      <c r="B123" s="6" t="s">
        <v>76</v>
      </c>
      <c r="C123" s="6" t="s">
        <v>533</v>
      </c>
      <c r="D123" s="6" t="s">
        <v>558</v>
      </c>
      <c r="E123" s="6" t="s">
        <v>559</v>
      </c>
    </row>
    <row r="124" customFormat="false" ht="57.45" hidden="false" customHeight="false" outlineLevel="0" collapsed="false">
      <c r="A124" s="6" t="s">
        <v>361</v>
      </c>
      <c r="B124" s="6" t="s">
        <v>76</v>
      </c>
      <c r="C124" s="6" t="s">
        <v>533</v>
      </c>
      <c r="D124" s="6" t="s">
        <v>560</v>
      </c>
      <c r="E124" s="6" t="s">
        <v>561</v>
      </c>
    </row>
    <row r="125" customFormat="false" ht="23.85" hidden="false" customHeight="false" outlineLevel="0" collapsed="false">
      <c r="A125" s="6" t="s">
        <v>361</v>
      </c>
      <c r="B125" s="6" t="s">
        <v>76</v>
      </c>
      <c r="C125" s="6" t="s">
        <v>533</v>
      </c>
      <c r="D125" s="6" t="s">
        <v>562</v>
      </c>
      <c r="E125" s="6" t="s">
        <v>563</v>
      </c>
    </row>
    <row r="126" customFormat="false" ht="35.05" hidden="false" customHeight="false" outlineLevel="0" collapsed="false">
      <c r="A126" s="6" t="s">
        <v>361</v>
      </c>
      <c r="B126" s="6" t="s">
        <v>76</v>
      </c>
      <c r="C126" s="6" t="s">
        <v>533</v>
      </c>
      <c r="D126" s="6" t="s">
        <v>564</v>
      </c>
      <c r="E126" s="6" t="s">
        <v>565</v>
      </c>
    </row>
    <row r="127" customFormat="false" ht="23.85" hidden="false" customHeight="false" outlineLevel="0" collapsed="false">
      <c r="A127" s="6" t="s">
        <v>361</v>
      </c>
      <c r="B127" s="6" t="s">
        <v>76</v>
      </c>
      <c r="C127" s="6" t="s">
        <v>533</v>
      </c>
      <c r="D127" s="6" t="s">
        <v>566</v>
      </c>
      <c r="E127" s="6" t="s">
        <v>567</v>
      </c>
    </row>
    <row r="128" customFormat="false" ht="35.05" hidden="false" customHeight="false" outlineLevel="0" collapsed="false">
      <c r="A128" s="6" t="s">
        <v>361</v>
      </c>
      <c r="B128" s="6" t="s">
        <v>76</v>
      </c>
      <c r="C128" s="6" t="s">
        <v>533</v>
      </c>
      <c r="D128" s="6"/>
      <c r="E128" s="6" t="s">
        <v>568</v>
      </c>
    </row>
    <row r="129" customFormat="false" ht="57.45" hidden="false" customHeight="false" outlineLevel="0" collapsed="false">
      <c r="A129" s="15" t="s">
        <v>361</v>
      </c>
      <c r="B129" s="15" t="s">
        <v>76</v>
      </c>
      <c r="C129" s="15" t="s">
        <v>533</v>
      </c>
      <c r="D129" s="16" t="s">
        <v>363</v>
      </c>
      <c r="E129" s="15" t="s">
        <v>569</v>
      </c>
    </row>
    <row r="130" customFormat="false" ht="46.25" hidden="false" customHeight="false" outlineLevel="0" collapsed="false">
      <c r="A130" s="6" t="s">
        <v>361</v>
      </c>
      <c r="B130" s="6" t="s">
        <v>76</v>
      </c>
      <c r="C130" s="6" t="s">
        <v>533</v>
      </c>
      <c r="D130" s="6" t="s">
        <v>570</v>
      </c>
      <c r="E130" s="6" t="s">
        <v>571</v>
      </c>
    </row>
    <row r="131" customFormat="false" ht="35.05" hidden="false" customHeight="false" outlineLevel="0" collapsed="false">
      <c r="A131" s="6" t="s">
        <v>361</v>
      </c>
      <c r="B131" s="6" t="s">
        <v>76</v>
      </c>
      <c r="C131" s="6" t="s">
        <v>533</v>
      </c>
      <c r="D131" s="6" t="s">
        <v>572</v>
      </c>
      <c r="E131" s="6" t="s">
        <v>573</v>
      </c>
    </row>
    <row r="132" customFormat="false" ht="15" hidden="false" customHeight="false" outlineLevel="0" collapsed="false">
      <c r="A132" s="6" t="s">
        <v>361</v>
      </c>
      <c r="B132" s="6" t="s">
        <v>76</v>
      </c>
      <c r="C132" s="6" t="s">
        <v>533</v>
      </c>
      <c r="D132" s="6"/>
      <c r="E132" s="6" t="s">
        <v>574</v>
      </c>
    </row>
    <row r="133" customFormat="false" ht="15" hidden="false" customHeight="false" outlineLevel="0" collapsed="false">
      <c r="A133" s="6" t="s">
        <v>361</v>
      </c>
      <c r="B133" s="6" t="s">
        <v>76</v>
      </c>
      <c r="C133" s="6" t="s">
        <v>533</v>
      </c>
      <c r="D133" s="6"/>
      <c r="E133" s="6" t="s">
        <v>575</v>
      </c>
    </row>
    <row r="134" customFormat="false" ht="15" hidden="false" customHeight="false" outlineLevel="0" collapsed="false">
      <c r="A134" s="6" t="s">
        <v>361</v>
      </c>
      <c r="B134" s="6" t="s">
        <v>76</v>
      </c>
      <c r="C134" s="6" t="s">
        <v>533</v>
      </c>
      <c r="D134" s="6"/>
      <c r="E134" s="6" t="s">
        <v>576</v>
      </c>
    </row>
    <row r="135" customFormat="false" ht="15" hidden="false" customHeight="false" outlineLevel="0" collapsed="false">
      <c r="A135" s="6" t="s">
        <v>361</v>
      </c>
      <c r="B135" s="6" t="s">
        <v>76</v>
      </c>
      <c r="C135" s="6" t="s">
        <v>533</v>
      </c>
      <c r="D135" s="6"/>
      <c r="E135" s="6" t="s">
        <v>577</v>
      </c>
    </row>
    <row r="136" customFormat="false" ht="15" hidden="false" customHeight="false" outlineLevel="0" collapsed="false">
      <c r="A136" s="6" t="s">
        <v>361</v>
      </c>
      <c r="B136" s="6" t="s">
        <v>76</v>
      </c>
      <c r="C136" s="6" t="s">
        <v>533</v>
      </c>
      <c r="D136" s="6"/>
      <c r="E136" s="6" t="s">
        <v>578</v>
      </c>
    </row>
    <row r="137" customFormat="false" ht="15" hidden="false" customHeight="false" outlineLevel="0" collapsed="false">
      <c r="A137" s="6" t="s">
        <v>361</v>
      </c>
      <c r="B137" s="6" t="s">
        <v>76</v>
      </c>
      <c r="C137" s="6" t="s">
        <v>533</v>
      </c>
      <c r="D137" s="6"/>
      <c r="E137" s="6" t="s">
        <v>579</v>
      </c>
    </row>
    <row r="138" customFormat="false" ht="15" hidden="false" customHeight="false" outlineLevel="0" collapsed="false">
      <c r="A138" s="6" t="s">
        <v>361</v>
      </c>
      <c r="B138" s="6" t="s">
        <v>76</v>
      </c>
      <c r="C138" s="6" t="s">
        <v>533</v>
      </c>
      <c r="D138" s="6"/>
      <c r="E138" s="6" t="s">
        <v>580</v>
      </c>
    </row>
    <row r="139" customFormat="false" ht="15" hidden="false" customHeight="false" outlineLevel="0" collapsed="false">
      <c r="A139" s="6" t="s">
        <v>361</v>
      </c>
      <c r="B139" s="6" t="s">
        <v>76</v>
      </c>
      <c r="C139" s="6" t="s">
        <v>533</v>
      </c>
      <c r="D139" s="6"/>
      <c r="E139" s="6" t="s">
        <v>581</v>
      </c>
    </row>
    <row r="140" customFormat="false" ht="15" hidden="false" customHeight="false" outlineLevel="0" collapsed="false">
      <c r="A140" s="6" t="s">
        <v>361</v>
      </c>
      <c r="B140" s="6" t="s">
        <v>76</v>
      </c>
      <c r="C140" s="6" t="s">
        <v>533</v>
      </c>
      <c r="D140" s="6"/>
      <c r="E140" s="6" t="s">
        <v>582</v>
      </c>
    </row>
    <row r="141" customFormat="false" ht="15" hidden="false" customHeight="false" outlineLevel="0" collapsed="false">
      <c r="A141" s="6" t="s">
        <v>361</v>
      </c>
      <c r="B141" s="6" t="s">
        <v>76</v>
      </c>
      <c r="C141" s="6" t="s">
        <v>533</v>
      </c>
      <c r="D141" s="6"/>
      <c r="E141" s="6" t="s">
        <v>583</v>
      </c>
    </row>
    <row r="142" customFormat="false" ht="23.85" hidden="false" customHeight="false" outlineLevel="0" collapsed="false">
      <c r="A142" s="6" t="s">
        <v>361</v>
      </c>
      <c r="B142" s="6" t="s">
        <v>76</v>
      </c>
      <c r="C142" s="6" t="s">
        <v>533</v>
      </c>
      <c r="D142" s="6"/>
      <c r="E142" s="6" t="s">
        <v>584</v>
      </c>
    </row>
    <row r="143" customFormat="false" ht="15" hidden="false" customHeight="false" outlineLevel="0" collapsed="false">
      <c r="A143" s="6" t="s">
        <v>361</v>
      </c>
      <c r="B143" s="6" t="s">
        <v>76</v>
      </c>
      <c r="C143" s="6" t="s">
        <v>533</v>
      </c>
      <c r="D143" s="6"/>
      <c r="E143" s="6" t="s">
        <v>585</v>
      </c>
    </row>
    <row r="144" customFormat="false" ht="15" hidden="false" customHeight="false" outlineLevel="0" collapsed="false">
      <c r="A144" s="6" t="s">
        <v>361</v>
      </c>
      <c r="B144" s="6" t="s">
        <v>76</v>
      </c>
      <c r="C144" s="6" t="s">
        <v>533</v>
      </c>
      <c r="D144" s="6"/>
      <c r="E144" s="6" t="s">
        <v>586</v>
      </c>
    </row>
    <row r="145" customFormat="false" ht="15" hidden="false" customHeight="false" outlineLevel="0" collapsed="false">
      <c r="A145" s="6" t="s">
        <v>361</v>
      </c>
      <c r="B145" s="6" t="s">
        <v>76</v>
      </c>
      <c r="C145" s="6" t="s">
        <v>533</v>
      </c>
      <c r="D145" s="6"/>
      <c r="E145" s="6" t="s">
        <v>587</v>
      </c>
    </row>
    <row r="146" customFormat="false" ht="23.85" hidden="false" customHeight="false" outlineLevel="0" collapsed="false">
      <c r="A146" s="6" t="s">
        <v>361</v>
      </c>
      <c r="B146" s="6" t="s">
        <v>76</v>
      </c>
      <c r="C146" s="6" t="s">
        <v>533</v>
      </c>
      <c r="D146" s="6" t="s">
        <v>588</v>
      </c>
      <c r="E146" s="6" t="s">
        <v>589</v>
      </c>
    </row>
    <row r="147" customFormat="false" ht="15" hidden="false" customHeight="false" outlineLevel="0" collapsed="false">
      <c r="A147" s="6" t="s">
        <v>361</v>
      </c>
      <c r="B147" s="6" t="s">
        <v>76</v>
      </c>
      <c r="C147" s="6" t="s">
        <v>533</v>
      </c>
      <c r="D147" s="6"/>
      <c r="E147" s="6" t="s">
        <v>590</v>
      </c>
    </row>
    <row r="148" customFormat="false" ht="15" hidden="false" customHeight="false" outlineLevel="0" collapsed="false">
      <c r="A148" s="6" t="s">
        <v>361</v>
      </c>
      <c r="B148" s="6" t="s">
        <v>57</v>
      </c>
      <c r="C148" s="6" t="s">
        <v>533</v>
      </c>
      <c r="D148" s="6"/>
      <c r="E148" s="6" t="s">
        <v>591</v>
      </c>
    </row>
    <row r="149" customFormat="false" ht="15" hidden="false" customHeight="false" outlineLevel="0" collapsed="false">
      <c r="A149" s="6" t="s">
        <v>361</v>
      </c>
      <c r="B149" s="6" t="s">
        <v>57</v>
      </c>
      <c r="C149" s="6" t="s">
        <v>533</v>
      </c>
      <c r="D149" s="6"/>
      <c r="E149" s="6" t="s">
        <v>592</v>
      </c>
    </row>
    <row r="150" customFormat="false" ht="15" hidden="false" customHeight="false" outlineLevel="0" collapsed="false">
      <c r="A150" s="6" t="s">
        <v>361</v>
      </c>
      <c r="B150" s="6" t="s">
        <v>57</v>
      </c>
      <c r="C150" s="6" t="s">
        <v>533</v>
      </c>
      <c r="D150" s="6"/>
      <c r="E150" s="6" t="s">
        <v>593</v>
      </c>
    </row>
    <row r="151" customFormat="false" ht="23.85" hidden="false" customHeight="false" outlineLevel="0" collapsed="false">
      <c r="A151" s="6" t="s">
        <v>361</v>
      </c>
      <c r="B151" s="6" t="s">
        <v>57</v>
      </c>
      <c r="C151" s="6" t="s">
        <v>533</v>
      </c>
      <c r="D151" s="6" t="s">
        <v>594</v>
      </c>
      <c r="E151" s="6" t="s">
        <v>595</v>
      </c>
    </row>
    <row r="152" customFormat="false" ht="35.05" hidden="false" customHeight="false" outlineLevel="0" collapsed="false">
      <c r="A152" s="6" t="s">
        <v>361</v>
      </c>
      <c r="B152" s="6" t="s">
        <v>57</v>
      </c>
      <c r="C152" s="6" t="s">
        <v>533</v>
      </c>
      <c r="D152" s="6"/>
      <c r="E152" s="6" t="s">
        <v>596</v>
      </c>
    </row>
    <row r="153" customFormat="false" ht="68.65" hidden="false" customHeight="false" outlineLevel="0" collapsed="false">
      <c r="A153" s="6" t="s">
        <v>361</v>
      </c>
      <c r="B153" s="6" t="s">
        <v>57</v>
      </c>
      <c r="C153" s="6" t="s">
        <v>533</v>
      </c>
      <c r="D153" s="6" t="s">
        <v>597</v>
      </c>
      <c r="E153" s="6" t="s">
        <v>598</v>
      </c>
    </row>
    <row r="154" customFormat="false" ht="35.05" hidden="false" customHeight="false" outlineLevel="0" collapsed="false">
      <c r="A154" s="6" t="s">
        <v>361</v>
      </c>
      <c r="B154" s="6" t="s">
        <v>57</v>
      </c>
      <c r="C154" s="6" t="s">
        <v>533</v>
      </c>
      <c r="D154" s="6" t="s">
        <v>599</v>
      </c>
      <c r="E154" s="6" t="s">
        <v>600</v>
      </c>
    </row>
    <row r="155" customFormat="false" ht="46.25" hidden="false" customHeight="false" outlineLevel="0" collapsed="false">
      <c r="A155" s="6" t="s">
        <v>361</v>
      </c>
      <c r="B155" s="6" t="s">
        <v>57</v>
      </c>
      <c r="C155" s="6" t="s">
        <v>533</v>
      </c>
      <c r="D155" s="6" t="s">
        <v>601</v>
      </c>
      <c r="E155" s="6" t="s">
        <v>602</v>
      </c>
    </row>
    <row r="156" customFormat="false" ht="46.25" hidden="false" customHeight="false" outlineLevel="0" collapsed="false">
      <c r="A156" s="6" t="s">
        <v>361</v>
      </c>
      <c r="B156" s="6" t="s">
        <v>57</v>
      </c>
      <c r="C156" s="6" t="s">
        <v>533</v>
      </c>
      <c r="D156" s="6" t="s">
        <v>603</v>
      </c>
      <c r="E156" s="6" t="s">
        <v>604</v>
      </c>
    </row>
    <row r="157" customFormat="false" ht="35.05" hidden="false" customHeight="false" outlineLevel="0" collapsed="false">
      <c r="A157" s="6" t="s">
        <v>361</v>
      </c>
      <c r="B157" s="6" t="s">
        <v>57</v>
      </c>
      <c r="C157" s="6" t="s">
        <v>533</v>
      </c>
      <c r="D157" s="6" t="s">
        <v>605</v>
      </c>
      <c r="E157" s="6" t="s">
        <v>606</v>
      </c>
    </row>
    <row r="158" customFormat="false" ht="57.45" hidden="false" customHeight="false" outlineLevel="0" collapsed="false">
      <c r="A158" s="6" t="s">
        <v>361</v>
      </c>
      <c r="B158" s="6" t="s">
        <v>57</v>
      </c>
      <c r="C158" s="6" t="s">
        <v>533</v>
      </c>
      <c r="D158" s="6" t="s">
        <v>607</v>
      </c>
      <c r="E158" s="6" t="s">
        <v>608</v>
      </c>
    </row>
    <row r="159" customFormat="false" ht="35.05" hidden="false" customHeight="false" outlineLevel="0" collapsed="false">
      <c r="A159" s="6" t="s">
        <v>361</v>
      </c>
      <c r="B159" s="6" t="s">
        <v>57</v>
      </c>
      <c r="C159" s="6" t="s">
        <v>533</v>
      </c>
      <c r="D159" s="6" t="s">
        <v>609</v>
      </c>
      <c r="E159" s="6" t="s">
        <v>610</v>
      </c>
    </row>
    <row r="160" customFormat="false" ht="15" hidden="false" customHeight="false" outlineLevel="0" collapsed="false">
      <c r="A160" s="6" t="s">
        <v>361</v>
      </c>
      <c r="B160" s="6" t="s">
        <v>57</v>
      </c>
      <c r="C160" s="6" t="s">
        <v>533</v>
      </c>
      <c r="D160" s="6"/>
      <c r="E160" s="6" t="s">
        <v>611</v>
      </c>
    </row>
    <row r="161" customFormat="false" ht="46.25" hidden="false" customHeight="false" outlineLevel="0" collapsed="false">
      <c r="A161" s="6" t="s">
        <v>361</v>
      </c>
      <c r="B161" s="6" t="s">
        <v>57</v>
      </c>
      <c r="C161" s="6" t="s">
        <v>533</v>
      </c>
      <c r="D161" s="6" t="s">
        <v>612</v>
      </c>
      <c r="E161" s="6" t="s">
        <v>613</v>
      </c>
    </row>
    <row r="162" customFormat="false" ht="91" hidden="false" customHeight="false" outlineLevel="0" collapsed="false">
      <c r="A162" s="6" t="s">
        <v>361</v>
      </c>
      <c r="B162" s="6" t="s">
        <v>57</v>
      </c>
      <c r="C162" s="6" t="s">
        <v>533</v>
      </c>
      <c r="D162" s="6" t="s">
        <v>614</v>
      </c>
      <c r="E162" s="6" t="s">
        <v>615</v>
      </c>
    </row>
    <row r="163" customFormat="false" ht="15" hidden="false" customHeight="false" outlineLevel="0" collapsed="false">
      <c r="A163" s="6" t="s">
        <v>361</v>
      </c>
      <c r="B163" s="6" t="s">
        <v>117</v>
      </c>
      <c r="C163" s="6" t="s">
        <v>533</v>
      </c>
      <c r="D163" s="6"/>
      <c r="E163" s="6" t="s">
        <v>616</v>
      </c>
    </row>
    <row r="164" customFormat="false" ht="68.65" hidden="false" customHeight="false" outlineLevel="0" collapsed="false">
      <c r="A164" s="6" t="s">
        <v>361</v>
      </c>
      <c r="B164" s="6" t="s">
        <v>117</v>
      </c>
      <c r="C164" s="6" t="s">
        <v>533</v>
      </c>
      <c r="D164" s="6" t="s">
        <v>196</v>
      </c>
      <c r="E164" s="6" t="s">
        <v>617</v>
      </c>
    </row>
    <row r="166" customFormat="false" ht="15" hidden="false" customHeight="false" outlineLevel="0" collapsed="false">
      <c r="A166" s="2" t="s">
        <v>618</v>
      </c>
    </row>
  </sheetData>
  <autoFilter ref="A1:E1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2026-09-10T07:58:47Z</dcterms:created>
  <dc:creator>openpyxl</dc:creator>
  <dc:description/>
  <dc:language>en-US</dc:language>
  <cp:lastModifiedBy/>
  <dcterms:modified xsi:type="dcterms:W3CDTF">2026-09-10T07:58:47Z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